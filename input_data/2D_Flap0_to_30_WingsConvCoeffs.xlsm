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SIMOCEAN\2D_1wing\Flap25-30_2nd_orderComplicated\"/>
    </mc:Choice>
  </mc:AlternateContent>
  <xr:revisionPtr revIDLastSave="0" documentId="13_ncr:1_{73305305-FC21-46EE-B28A-1BBD49592D6E}" xr6:coauthVersionLast="47" xr6:coauthVersionMax="47" xr10:uidLastSave="{00000000-0000-0000-0000-000000000000}"/>
  <bookViews>
    <workbookView xWindow="-108" yWindow="-108" windowWidth="23256" windowHeight="14016" xr2:uid="{00000000-000D-0000-FFFF-FFFF00000000}"/>
  </bookViews>
  <sheets>
    <sheet name="2D_Flap0_to_20_2ndOrderComplica" sheetId="1" r:id="rId1"/>
    <sheet name="a6v_singlewing_2d_result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9" i="2" l="1"/>
  <c r="F32" i="2"/>
  <c r="F23" i="2"/>
  <c r="F16" i="2"/>
  <c r="F9" i="2"/>
  <c r="AE76" i="1"/>
  <c r="AE66" i="1"/>
  <c r="AE55" i="1"/>
  <c r="AE44" i="1"/>
  <c r="AE33" i="1"/>
  <c r="AE22" i="1"/>
  <c r="AE11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2" i="1"/>
</calcChain>
</file>

<file path=xl/sharedStrings.xml><?xml version="1.0" encoding="utf-8"?>
<sst xmlns="http://schemas.openxmlformats.org/spreadsheetml/2006/main" count="1097" uniqueCount="203">
  <si>
    <t>#nWings</t>
  </si>
  <si>
    <t>aws</t>
  </si>
  <si>
    <t>awa</t>
  </si>
  <si>
    <t>alpha0</t>
  </si>
  <si>
    <t>alpha1</t>
  </si>
  <si>
    <t>alpha2</t>
  </si>
  <si>
    <t>alpha3</t>
  </si>
  <si>
    <t>center0</t>
  </si>
  <si>
    <t>center1</t>
  </si>
  <si>
    <t>center2</t>
  </si>
  <si>
    <t>center3</t>
  </si>
  <si>
    <t>backgroundMesh</t>
  </si>
  <si>
    <t>profileMesh0</t>
  </si>
  <si>
    <t>profileMesh1</t>
  </si>
  <si>
    <t>profileMesh2</t>
  </si>
  <si>
    <t>profileMesh3</t>
  </si>
  <si>
    <t>targetMesh</t>
  </si>
  <si>
    <t>targetCase</t>
  </si>
  <si>
    <t>Account</t>
  </si>
  <si>
    <t>cores</t>
  </si>
  <si>
    <t>walltime</t>
  </si>
  <si>
    <t>DirName</t>
  </si>
  <si>
    <t>jobNameID</t>
  </si>
  <si>
    <t>Cx0Mean</t>
  </si>
  <si>
    <t>Cx0Var</t>
  </si>
  <si>
    <t>Cy0Mean</t>
  </si>
  <si>
    <t>Cy0Var</t>
  </si>
  <si>
    <t>Cm0Mean</t>
  </si>
  <si>
    <t>Cm0Var</t>
  </si>
  <si>
    <t>(20,9.901,0)</t>
  </si>
  <si>
    <t>(68,9.901,0)</t>
  </si>
  <si>
    <t>(20,-9.901,0)</t>
  </si>
  <si>
    <t>(68,-9.901,0)</t>
  </si>
  <si>
    <t>4profiles700x720_NewRefined750</t>
  </si>
  <si>
    <t>New_flap0</t>
  </si>
  <si>
    <t>noProfile</t>
  </si>
  <si>
    <t>background1Wing</t>
  </si>
  <si>
    <t>wing</t>
  </si>
  <si>
    <t>FF4_AYRO</t>
  </si>
  <si>
    <t>/g100_work/FF4_AYRO/AUTO_test_dev_kch/RUNS/2D_Flap0_to_20_2ndOrderComplicated/ID0</t>
  </si>
  <si>
    <t>2D_Flap0_to_20_2ndOrderComplicated_ID0</t>
  </si>
  <si>
    <t>/g100_work/FF4_AYRO/AUTO_test_dev_kch/RUNS/2D_Flap0_to_20_2ndOrderComplicated/ID1</t>
  </si>
  <si>
    <t>2D_Flap0_to_20_2ndOrderComplicated_ID1</t>
  </si>
  <si>
    <t>/g100_work/FF4_AYRO/AUTO_test_dev_kch/RUNS/2D_Flap0_to_20_2ndOrderComplicated/ID2</t>
  </si>
  <si>
    <t>2D_Flap0_to_20_2ndOrderComplicated_ID2</t>
  </si>
  <si>
    <t>/g100_work/FF4_AYRO/AUTO_test_dev_kch/RUNS/2D_Flap0_to_20_2ndOrderComplicated/ID3</t>
  </si>
  <si>
    <t>2D_Flap0_to_20_2ndOrderComplicated_ID3</t>
  </si>
  <si>
    <t>/g100_work/FF4_AYRO/AUTO_test_dev_kch/RUNS/2D_Flap0_to_20_2ndOrderComplicated/ID4</t>
  </si>
  <si>
    <t>2D_Flap0_to_20_2ndOrderComplicated_ID4</t>
  </si>
  <si>
    <t>/g100_work/FF4_AYRO/AUTO_test_dev_kch/RUNS/2D_Flap0_to_20_2ndOrderComplicated/ID5</t>
  </si>
  <si>
    <t>2D_Flap0_to_20_2ndOrderComplicated_ID5</t>
  </si>
  <si>
    <t>/g100_work/FF4_AYRO/AUTO_test_dev_kch/RUNS/2D_Flap0_to_20_2ndOrderComplicated/ID6</t>
  </si>
  <si>
    <t>2D_Flap0_to_20_2ndOrderComplicated_ID6</t>
  </si>
  <si>
    <t>/g100_work/FF4_AYRO/AUTO_test_dev_kch/RUNS/2D_Flap0_to_20_2ndOrderComplicated/ID7</t>
  </si>
  <si>
    <t>2D_Flap0_to_20_2ndOrderComplicated_ID7</t>
  </si>
  <si>
    <t>/g100_work/FF4_AYRO/AUTO_test_dev_kch/RUNS/2D_Flap0_to_20_2ndOrderComplicated/ID8</t>
  </si>
  <si>
    <t>2D_Flap0_to_20_2ndOrderComplicated_ID8</t>
  </si>
  <si>
    <t>/g100_work/FF4_AYRO/AUTO_test_dev_kch/RUNS/2D_Flap0_to_20_2ndOrderComplicated/ID9</t>
  </si>
  <si>
    <t>2D_Flap0_to_20_2ndOrderComplicated_ID9</t>
  </si>
  <si>
    <t>New_flap5</t>
  </si>
  <si>
    <t>/g100_work/FF4_AYRO/AUTO_test_dev_kch/RUNS/2D_Flap0_to_20_2ndOrderComplicated/ID11</t>
  </si>
  <si>
    <t>2D_Flap0_to_20_2ndOrderComplicated_ID11</t>
  </si>
  <si>
    <t>/g100_work/FF4_AYRO/AUTO_test_dev_kch/RUNS/2D_Flap0_to_20_2ndOrderComplicated/ID12</t>
  </si>
  <si>
    <t>2D_Flap0_to_20_2ndOrderComplicated_ID12</t>
  </si>
  <si>
    <t>/g100_work/FF4_AYRO/AUTO_test_dev_kch/RUNS/2D_Flap0_to_20_2ndOrderComplicated/ID13</t>
  </si>
  <si>
    <t>2D_Flap0_to_20_2ndOrderComplicated_ID13</t>
  </si>
  <si>
    <t>/g100_work/FF4_AYRO/AUTO_test_dev_kch/RUNS/2D_Flap0_to_20_2ndOrderComplicated/ID14</t>
  </si>
  <si>
    <t>2D_Flap0_to_20_2ndOrderComplicated_ID14</t>
  </si>
  <si>
    <t>/g100_work/FF4_AYRO/AUTO_test_dev_kch/RUNS/2D_Flap0_to_20_2ndOrderComplicated/ID15</t>
  </si>
  <si>
    <t>2D_Flap0_to_20_2ndOrderComplicated_ID15</t>
  </si>
  <si>
    <t>/g100_work/FF4_AYRO/AUTO_test_dev_kch/RUNS/2D_Flap0_to_20_2ndOrderComplicated/ID16</t>
  </si>
  <si>
    <t>2D_Flap0_to_20_2ndOrderComplicated_ID16</t>
  </si>
  <si>
    <t>/g100_work/FF4_AYRO/AUTO_test_dev_kch/RUNS/2D_Flap0_to_20_2ndOrderComplicated/ID17</t>
  </si>
  <si>
    <t>2D_Flap0_to_20_2ndOrderComplicated_ID17</t>
  </si>
  <si>
    <t>/g100_work/FF4_AYRO/AUTO_test_dev_kch/RUNS/2D_Flap0_to_20_2ndOrderComplicated/ID18</t>
  </si>
  <si>
    <t>2D_Flap0_to_20_2ndOrderComplicated_ID18</t>
  </si>
  <si>
    <t>/g100_work/FF4_AYRO/AUTO_test_dev_kch/RUNS/2D_Flap0_to_20_2ndOrderComplicated/ID19</t>
  </si>
  <si>
    <t>2D_Flap0_to_20_2ndOrderComplicated_ID19</t>
  </si>
  <si>
    <t>/g100_work/FF4_AYRO/AUTO_test_dev_kch/RUNS/2D_Flap0_to_20_2ndOrderComplicated/ID20</t>
  </si>
  <si>
    <t>2D_Flap0_to_20_2ndOrderComplicated_ID20</t>
  </si>
  <si>
    <t>/g100_work/FF4_AYRO/AUTO_test_dev_kch/RUNS/2D_Flap0_to_20_2ndOrderComplicated/ID21</t>
  </si>
  <si>
    <t>2D_Flap0_to_20_2ndOrderComplicated_ID21</t>
  </si>
  <si>
    <t>New_flap10</t>
  </si>
  <si>
    <t>/g100_work/FF4_AYRO/AUTO_test_dev_kch/RUNS/2D_Flap0_to_20_2ndOrderComplicated/ID22</t>
  </si>
  <si>
    <t>2D_Flap0_to_20_2ndOrderComplicated_ID22</t>
  </si>
  <si>
    <t>/g100_work/FF4_AYRO/AUTO_test_dev_kch/RUNS/2D_Flap0_to_20_2ndOrderComplicated/ID23</t>
  </si>
  <si>
    <t>2D_Flap0_to_20_2ndOrderComplicated_ID23</t>
  </si>
  <si>
    <t>/g100_work/FF4_AYRO/AUTO_test_dev_kch/RUNS/2D_Flap0_to_20_2ndOrderComplicated/ID24</t>
  </si>
  <si>
    <t>2D_Flap0_to_20_2ndOrderComplicated_ID24</t>
  </si>
  <si>
    <t>/g100_work/FF4_AYRO/AUTO_test_dev_kch/RUNS/2D_Flap0_to_20_2ndOrderComplicated/ID25</t>
  </si>
  <si>
    <t>2D_Flap0_to_20_2ndOrderComplicated_ID25</t>
  </si>
  <si>
    <t>/g100_work/FF4_AYRO/AUTO_test_dev_kch/RUNS/2D_Flap0_to_20_2ndOrderComplicated/ID26</t>
  </si>
  <si>
    <t>2D_Flap0_to_20_2ndOrderComplicated_ID26</t>
  </si>
  <si>
    <t>/g100_work/FF4_AYRO/AUTO_test_dev_kch/RUNS/2D_Flap0_to_20_2ndOrderComplicated/ID27</t>
  </si>
  <si>
    <t>2D_Flap0_to_20_2ndOrderComplicated_ID27</t>
  </si>
  <si>
    <t>/g100_work/FF4_AYRO/AUTO_test_dev_kch/RUNS/2D_Flap0_to_20_2ndOrderComplicated/ID28</t>
  </si>
  <si>
    <t>2D_Flap0_to_20_2ndOrderComplicated_ID28</t>
  </si>
  <si>
    <t>/g100_work/FF4_AYRO/AUTO_test_dev_kch/RUNS/2D_Flap0_to_20_2ndOrderComplicated/ID29</t>
  </si>
  <si>
    <t>2D_Flap0_to_20_2ndOrderComplicated_ID29</t>
  </si>
  <si>
    <t>/g100_work/FF4_AYRO/AUTO_test_dev_kch/RUNS/2D_Flap0_to_20_2ndOrderComplicated/ID30</t>
  </si>
  <si>
    <t>2D_Flap0_to_20_2ndOrderComplicated_ID30</t>
  </si>
  <si>
    <t>/g100_work/FF4_AYRO/AUTO_test_dev_kch/RUNS/2D_Flap0_to_20_2ndOrderComplicated/ID31</t>
  </si>
  <si>
    <t>2D_Flap0_to_20_2ndOrderComplicated_ID31</t>
  </si>
  <si>
    <t>/g100_work/FF4_AYRO/AUTO_test_dev_kch/RUNS/2D_Flap0_to_20_2ndOrderComplicated/ID32</t>
  </si>
  <si>
    <t>2D_Flap0_to_20_2ndOrderComplicated_ID32</t>
  </si>
  <si>
    <t>New_flap15</t>
  </si>
  <si>
    <t>/g100_work/FF4_AYRO/AUTO_test_dev_kch/RUNS/2D_Flap0_to_20_2ndOrderComplicated/ID33</t>
  </si>
  <si>
    <t>2D_Flap0_to_20_2ndOrderComplicated_ID33</t>
  </si>
  <si>
    <t>/g100_work/FF4_AYRO/AUTO_test_dev_kch/RUNS/2D_Flap0_to_20_2ndOrderComplicated/ID34</t>
  </si>
  <si>
    <t>2D_Flap0_to_20_2ndOrderComplicated_ID34</t>
  </si>
  <si>
    <t>/g100_work/FF4_AYRO/AUTO_test_dev_kch/RUNS/2D_Flap0_to_20_2ndOrderComplicated/ID35</t>
  </si>
  <si>
    <t>2D_Flap0_to_20_2ndOrderComplicated_ID35</t>
  </si>
  <si>
    <t>/g100_work/FF4_AYRO/AUTO_test_dev_kch/RUNS/2D_Flap0_to_20_2ndOrderComplicated/ID36</t>
  </si>
  <si>
    <t>2D_Flap0_to_20_2ndOrderComplicated_ID36</t>
  </si>
  <si>
    <t>/g100_work/FF4_AYRO/AUTO_test_dev_kch/RUNS/2D_Flap0_to_20_2ndOrderComplicated/ID37</t>
  </si>
  <si>
    <t>2D_Flap0_to_20_2ndOrderComplicated_ID37</t>
  </si>
  <si>
    <t>/g100_work/FF4_AYRO/AUTO_test_dev_kch/RUNS/2D_Flap0_to_20_2ndOrderComplicated/ID38</t>
  </si>
  <si>
    <t>2D_Flap0_to_20_2ndOrderComplicated_ID38</t>
  </si>
  <si>
    <t>/g100_work/FF4_AYRO/AUTO_test_dev_kch/RUNS/2D_Flap0_to_20_2ndOrderComplicated/ID39</t>
  </si>
  <si>
    <t>2D_Flap0_to_20_2ndOrderComplicated_ID39</t>
  </si>
  <si>
    <t>/g100_work/FF4_AYRO/AUTO_test_dev_kch/RUNS/2D_Flap0_to_20_2ndOrderComplicated/ID40</t>
  </si>
  <si>
    <t>2D_Flap0_to_20_2ndOrderComplicated_ID40</t>
  </si>
  <si>
    <t>/g100_work/FF4_AYRO/AUTO_test_dev_kch/RUNS/2D_Flap0_to_20_2ndOrderComplicated/ID41</t>
  </si>
  <si>
    <t>2D_Flap0_to_20_2ndOrderComplicated_ID41</t>
  </si>
  <si>
    <t>/g100_work/FF4_AYRO/AUTO_test_dev_kch/RUNS/2D_Flap0_to_20_2ndOrderComplicated/ID42</t>
  </si>
  <si>
    <t>2D_Flap0_to_20_2ndOrderComplicated_ID42</t>
  </si>
  <si>
    <t>/g100_work/FF4_AYRO/AUTO_test_dev_kch/RUNS/2D_Flap0_to_20_2ndOrderComplicated/ID43</t>
  </si>
  <si>
    <t>2D_Flap0_to_20_2ndOrderComplicated_ID43</t>
  </si>
  <si>
    <t>New_flap20</t>
  </si>
  <si>
    <t>/g100_work/FF4_AYRO/AUTO_test_dev_kch/RUNS/2D_Flap0_to_20_2ndOrderComplicated/ID44</t>
  </si>
  <si>
    <t>2D_Flap0_to_20_2ndOrderComplicated_ID44</t>
  </si>
  <si>
    <t>/g100_work/FF4_AYRO/AUTO_test_dev_kch/RUNS/2D_Flap0_to_20_2ndOrderComplicated/ID45</t>
  </si>
  <si>
    <t>2D_Flap0_to_20_2ndOrderComplicated_ID45</t>
  </si>
  <si>
    <t>/g100_work/FF4_AYRO/AUTO_test_dev_kch/RUNS/2D_Flap0_to_20_2ndOrderComplicated/ID46</t>
  </si>
  <si>
    <t>2D_Flap0_to_20_2ndOrderComplicated_ID46</t>
  </si>
  <si>
    <t>/g100_work/FF4_AYRO/AUTO_test_dev_kch/RUNS/2D_Flap0_to_20_2ndOrderComplicated/ID47</t>
  </si>
  <si>
    <t>2D_Flap0_to_20_2ndOrderComplicated_ID47</t>
  </si>
  <si>
    <t>/g100_work/FF4_AYRO/AUTO_test_dev_kch/RUNS/2D_Flap0_to_20_2ndOrderComplicated/ID48</t>
  </si>
  <si>
    <t>2D_Flap0_to_20_2ndOrderComplicated_ID48</t>
  </si>
  <si>
    <t>/g100_work/FF4_AYRO/AUTO_test_dev_kch/RUNS/2D_Flap0_to_20_2ndOrderComplicated/ID49</t>
  </si>
  <si>
    <t>2D_Flap0_to_20_2ndOrderComplicated_ID49</t>
  </si>
  <si>
    <t>/g100_work/FF4_AYRO/AUTO_test_dev_kch/RUNS/2D_Flap0_to_20_2ndOrderComplicated/ID50</t>
  </si>
  <si>
    <t>2D_Flap0_to_20_2ndOrderComplicated_ID50</t>
  </si>
  <si>
    <t>/g100_work/FF4_AYRO/AUTO_test_dev_kch/RUNS/2D_Flap0_to_20_2ndOrderComplicated/ID51</t>
  </si>
  <si>
    <t>2D_Flap0_to_20_2ndOrderComplicated_ID51</t>
  </si>
  <si>
    <t>/g100_work/FF4_AYRO/AUTO_test_dev_kch/RUNS/2D_Flap0_to_20_2ndOrderComplicated/ID52</t>
  </si>
  <si>
    <t>2D_Flap0_to_20_2ndOrderComplicated_ID52</t>
  </si>
  <si>
    <t>/g100_work/FF4_AYRO/AUTO_test_dev_kch/RUNS/2D_Flap0_to_20_2ndOrderComplicated/ID53</t>
  </si>
  <si>
    <t>2D_Flap0_to_20_2ndOrderComplicated_ID53</t>
  </si>
  <si>
    <t>/g100_work/FF4_AYRO/AUTO_test_dev_kch/RUNS/2D_Flap0_to_20_2ndOrderComplicated/ID54</t>
  </si>
  <si>
    <t>2D_Flap0_to_20_2ndOrderComplicated_ID54</t>
  </si>
  <si>
    <t>New_flap25</t>
  </si>
  <si>
    <t>/g100_work/FF4_AYRO/AUTO_test_dev_kch/RUNS/2D_Flap25-30_2ndOrderComplicated/ID0</t>
  </si>
  <si>
    <t>2D_Flap25-30_2ndOrderComplicated_ID0</t>
  </si>
  <si>
    <t>/g100_work/FF4_AYRO/AUTO_test_dev_kch/RUNS/2D_Flap25-30_2ndOrderComplicated/ID1</t>
  </si>
  <si>
    <t>2D_Flap25-30_2ndOrderComplicated_ID1</t>
  </si>
  <si>
    <t>/g100_work/FF4_AYRO/AUTO_test_dev_kch/RUNS/2D_Flap25-30_2ndOrderComplicated/ID2</t>
  </si>
  <si>
    <t>2D_Flap25-30_2ndOrderComplicated_ID2</t>
  </si>
  <si>
    <t>/g100_work/FF4_AYRO/AUTO_test_dev_kch/RUNS/2D_Flap25-30_2ndOrderComplicated/ID3</t>
  </si>
  <si>
    <t>2D_Flap25-30_2ndOrderComplicated_ID3</t>
  </si>
  <si>
    <t>/g100_work/FF4_AYRO/AUTO_test_dev_kch/RUNS/2D_Flap25-30_2ndOrderComplicated/ID4</t>
  </si>
  <si>
    <t>2D_Flap25-30_2ndOrderComplicated_ID4</t>
  </si>
  <si>
    <t>/g100_work/FF4_AYRO/AUTO_test_dev_kch/RUNS/2D_Flap25-30_2ndOrderComplicated/ID5</t>
  </si>
  <si>
    <t>2D_Flap25-30_2ndOrderComplicated_ID5</t>
  </si>
  <si>
    <t>/g100_work/FF4_AYRO/AUTO_test_dev_kch/RUNS/2D_Flap25-30_2ndOrderComplicated/ID6</t>
  </si>
  <si>
    <t>2D_Flap25-30_2ndOrderComplicated_ID6</t>
  </si>
  <si>
    <t>/g100_work/FF4_AYRO/AUTO_test_dev_kch/RUNS/2D_Flap25-30_2ndOrderComplicated/ID7</t>
  </si>
  <si>
    <t>2D_Flap25-30_2ndOrderComplicated_ID7</t>
  </si>
  <si>
    <t>/g100_work/FF4_AYRO/AUTO_test_dev_kch/RUNS/2D_Flap25-30_2ndOrderComplicated/ID8</t>
  </si>
  <si>
    <t>2D_Flap25-30_2ndOrderComplicated_ID8</t>
  </si>
  <si>
    <t>/g100_work/FF4_AYRO/AUTO_test_dev_kch/RUNS/2D_Flap25-30_2ndOrderComplicated/ID9</t>
  </si>
  <si>
    <t>2D_Flap25-30_2ndOrderComplicated_ID9</t>
  </si>
  <si>
    <t>/g100_work/FF4_AYRO/AUTO_test_dev_kch/RUNS/2D_Flap25-30_2ndOrderComplicated/ID10</t>
  </si>
  <si>
    <t>2D_Flap25-30_2ndOrderComplicated_ID10</t>
  </si>
  <si>
    <t>New_flap30</t>
  </si>
  <si>
    <t>/g100_work/FF4_AYRO/AUTO_test_dev_kch/RUNS/2D_Flap25-30_2ndOrderComplicated/ID11</t>
  </si>
  <si>
    <t>2D_Flap25-30_2ndOrderComplicated_ID11</t>
  </si>
  <si>
    <t>/g100_work/FF4_AYRO/AUTO_test_dev_kch/RUNS/2D_Flap25-30_2ndOrderComplicated/ID12</t>
  </si>
  <si>
    <t>2D_Flap25-30_2ndOrderComplicated_ID12</t>
  </si>
  <si>
    <t>/g100_work/FF4_AYRO/AUTO_test_dev_kch/RUNS/2D_Flap25-30_2ndOrderComplicated/ID13</t>
  </si>
  <si>
    <t>2D_Flap25-30_2ndOrderComplicated_ID13</t>
  </si>
  <si>
    <t>/g100_work/FF4_AYRO/AUTO_test_dev_kch/RUNS/2D_Flap25-30_2ndOrderComplicated/ID14</t>
  </si>
  <si>
    <t>2D_Flap25-30_2ndOrderComplicated_ID14</t>
  </si>
  <si>
    <t>/g100_work/FF4_AYRO/AUTO_test_dev_kch/RUNS/2D_Flap25-30_2ndOrderComplicated/ID15</t>
  </si>
  <si>
    <t>2D_Flap25-30_2ndOrderComplicated_ID15</t>
  </si>
  <si>
    <t>/g100_work/FF4_AYRO/AUTO_test_dev_kch/RUNS/2D_Flap25-30_2ndOrderComplicated/ID16</t>
  </si>
  <si>
    <t>2D_Flap25-30_2ndOrderComplicated_ID16</t>
  </si>
  <si>
    <t>/g100_work/FF4_AYRO/AUTO_test_dev_kch/RUNS/2D_Flap25-30_2ndOrderComplicated/ID17</t>
  </si>
  <si>
    <t>2D_Flap25-30_2ndOrderComplicated_ID17</t>
  </si>
  <si>
    <t>/g100_work/FF4_AYRO/AUTO_test_dev_kch/RUNS/2D_Flap25-30_2ndOrderComplicated/ID18</t>
  </si>
  <si>
    <t>2D_Flap25-30_2ndOrderComplicated_ID18</t>
  </si>
  <si>
    <t>/g100_work/FF4_AYRO/AUTO_test_dev_kch/RUNS/2D_Flap25-30_2ndOrderComplicated/ID19</t>
  </si>
  <si>
    <t>2D_Flap25-30_2ndOrderComplicated_ID19</t>
  </si>
  <si>
    <t>/g100_work/FF4_AYRO/AUTO_test_dev_kch/RUNS/2D_Flap25-30_2ndOrderComplicated/ID20</t>
  </si>
  <si>
    <t>2D_Flap25-30_2ndOrderComplicated_ID20</t>
  </si>
  <si>
    <t>Max Cy</t>
  </si>
  <si>
    <t>alfa</t>
  </si>
  <si>
    <t>beta</t>
  </si>
  <si>
    <t>cl.mean</t>
  </si>
  <si>
    <t>cd.mean</t>
  </si>
  <si>
    <t>cmz.mean</t>
  </si>
  <si>
    <t>Max</t>
  </si>
  <si>
    <t>OLD_Profiles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</si>
</sst>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0" borderId="10" xfId="0" applyBorder="1"/>
    <xf numFmtId="0" fontId="0" fillId="0" borderId="11" xfId="0" applyBorder="1"/>
    <xf numFmtId="11" fontId="0" fillId="0" borderId="11" xfId="0" applyNumberFormat="1" applyBorder="1"/>
    <xf numFmtId="0" fontId="0" fillId="0" borderId="12" xfId="0" applyBorder="1"/>
    <xf numFmtId="0" fontId="0" fillId="0" borderId="0" xfId="0" applyBorder="1"/>
    <xf numFmtId="11" fontId="0" fillId="0" borderId="0" xfId="0" applyNumberFormat="1" applyBorder="1"/>
    <xf numFmtId="0" fontId="0" fillId="0" borderId="13" xfId="0" applyBorder="1"/>
    <xf numFmtId="0" fontId="0" fillId="0" borderId="14" xfId="0" applyBorder="1"/>
    <xf numFmtId="11" fontId="0" fillId="0" borderId="14" xfId="0" applyNumberFormat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'2D_Flap0_to_20_2ndOrderComplica'!$M$2</c:f>
              <c:strCache>
                <c:ptCount val="1"/>
                <c:pt idx="0">
                  <c:v>New_flap0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'2D_Flap0_to_20_2ndOrderComplica'!$C$2:$C$11</c:f>
              <c:numCache>
                <c:formatCode>General</c:formatCode>
                <c:ptCount val="10"/>
                <c:pt idx="0">
                  <c:v>-6</c:v>
                </c:pt>
                <c:pt idx="1">
                  <c:v>-4</c:v>
                </c:pt>
                <c:pt idx="2">
                  <c:v>-2</c:v>
                </c:pt>
                <c:pt idx="3">
                  <c:v>0</c:v>
                </c:pt>
                <c:pt idx="4">
                  <c:v>2</c:v>
                </c:pt>
                <c:pt idx="5">
                  <c:v>4</c:v>
                </c:pt>
                <c:pt idx="6">
                  <c:v>6</c:v>
                </c:pt>
                <c:pt idx="7">
                  <c:v>8</c:v>
                </c:pt>
                <c:pt idx="8">
                  <c:v>10</c:v>
                </c:pt>
                <c:pt idx="9">
                  <c:v>12</c:v>
                </c:pt>
              </c:numCache>
              <c:extLst xmlns:c15="http://schemas.microsoft.com/office/drawing/2012/chart"/>
            </c:numRef>
          </c:xVal>
          <c:yVal>
            <c:numRef>
              <c:f>'2D_Flap0_to_20_2ndOrderComplica'!$Z$2:$Z$11</c:f>
              <c:numCache>
                <c:formatCode>General</c:formatCode>
                <c:ptCount val="10"/>
                <c:pt idx="0">
                  <c:v>-0.45829300000000001</c:v>
                </c:pt>
                <c:pt idx="1">
                  <c:v>-0.28709899999999999</c:v>
                </c:pt>
                <c:pt idx="2">
                  <c:v>-0.14188700000000001</c:v>
                </c:pt>
                <c:pt idx="3">
                  <c:v>7.5675000000000006E-2</c:v>
                </c:pt>
                <c:pt idx="4">
                  <c:v>0.29792200000000002</c:v>
                </c:pt>
                <c:pt idx="5">
                  <c:v>0.51924700000000001</c:v>
                </c:pt>
                <c:pt idx="6">
                  <c:v>0.73816199999999998</c:v>
                </c:pt>
                <c:pt idx="7">
                  <c:v>0.95339499999999999</c:v>
                </c:pt>
                <c:pt idx="8">
                  <c:v>1.163492</c:v>
                </c:pt>
                <c:pt idx="9">
                  <c:v>1.3603639999999999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9E0-44D2-AE87-B4D9B61FAE80}"/>
            </c:ext>
          </c:extLst>
        </c:ser>
        <c:ser>
          <c:idx val="1"/>
          <c:order val="1"/>
          <c:tx>
            <c:strRef>
              <c:f>'2D_Flap0_to_20_2ndOrderComplica'!$M$12</c:f>
              <c:strCache>
                <c:ptCount val="1"/>
                <c:pt idx="0">
                  <c:v>New_flap5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'2D_Flap0_to_20_2ndOrderComplica'!$C$12:$C$22</c:f>
              <c:numCache>
                <c:formatCode>General</c:formatCode>
                <c:ptCount val="11"/>
                <c:pt idx="0">
                  <c:v>-6</c:v>
                </c:pt>
                <c:pt idx="1">
                  <c:v>-4</c:v>
                </c:pt>
                <c:pt idx="2">
                  <c:v>-2</c:v>
                </c:pt>
                <c:pt idx="3">
                  <c:v>0</c:v>
                </c:pt>
                <c:pt idx="4">
                  <c:v>2</c:v>
                </c:pt>
                <c:pt idx="5">
                  <c:v>4</c:v>
                </c:pt>
                <c:pt idx="6">
                  <c:v>6</c:v>
                </c:pt>
                <c:pt idx="7">
                  <c:v>8</c:v>
                </c:pt>
                <c:pt idx="8">
                  <c:v>10</c:v>
                </c:pt>
                <c:pt idx="9">
                  <c:v>12</c:v>
                </c:pt>
                <c:pt idx="10">
                  <c:v>14</c:v>
                </c:pt>
              </c:numCache>
              <c:extLst xmlns:c15="http://schemas.microsoft.com/office/drawing/2012/chart"/>
            </c:numRef>
          </c:xVal>
          <c:yVal>
            <c:numRef>
              <c:f>'2D_Flap0_to_20_2ndOrderComplica'!$Z$12:$Z$22</c:f>
              <c:numCache>
                <c:formatCode>General</c:formatCode>
                <c:ptCount val="11"/>
                <c:pt idx="0">
                  <c:v>-0.15776699999999999</c:v>
                </c:pt>
                <c:pt idx="1">
                  <c:v>5.7652000000000002E-2</c:v>
                </c:pt>
                <c:pt idx="2">
                  <c:v>0.28371499999999999</c:v>
                </c:pt>
                <c:pt idx="3">
                  <c:v>0.507193</c:v>
                </c:pt>
                <c:pt idx="4">
                  <c:v>0.72980800000000001</c:v>
                </c:pt>
                <c:pt idx="5">
                  <c:v>0.94902399999999998</c:v>
                </c:pt>
                <c:pt idx="6">
                  <c:v>1.1615329999999999</c:v>
                </c:pt>
                <c:pt idx="7">
                  <c:v>1.369939</c:v>
                </c:pt>
                <c:pt idx="8">
                  <c:v>1.569059</c:v>
                </c:pt>
                <c:pt idx="9">
                  <c:v>1.7493259999999999</c:v>
                </c:pt>
                <c:pt idx="10">
                  <c:v>1.8422320000000001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9E0-44D2-AE87-B4D9B61FAE80}"/>
            </c:ext>
          </c:extLst>
        </c:ser>
        <c:ser>
          <c:idx val="2"/>
          <c:order val="2"/>
          <c:tx>
            <c:strRef>
              <c:f>'2D_Flap0_to_20_2ndOrderComplica'!$M$23</c:f>
              <c:strCache>
                <c:ptCount val="1"/>
                <c:pt idx="0">
                  <c:v>New_flap10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'2D_Flap0_to_20_2ndOrderComplica'!$C$23:$C$33</c:f>
              <c:numCache>
                <c:formatCode>General</c:formatCode>
                <c:ptCount val="11"/>
                <c:pt idx="0">
                  <c:v>-6</c:v>
                </c:pt>
                <c:pt idx="1">
                  <c:v>-4</c:v>
                </c:pt>
                <c:pt idx="2">
                  <c:v>-2</c:v>
                </c:pt>
                <c:pt idx="3">
                  <c:v>0</c:v>
                </c:pt>
                <c:pt idx="4">
                  <c:v>2</c:v>
                </c:pt>
                <c:pt idx="5">
                  <c:v>4</c:v>
                </c:pt>
                <c:pt idx="6">
                  <c:v>6</c:v>
                </c:pt>
                <c:pt idx="7">
                  <c:v>8</c:v>
                </c:pt>
                <c:pt idx="8">
                  <c:v>10</c:v>
                </c:pt>
                <c:pt idx="9">
                  <c:v>12</c:v>
                </c:pt>
                <c:pt idx="10">
                  <c:v>14</c:v>
                </c:pt>
              </c:numCache>
            </c:numRef>
          </c:xVal>
          <c:yVal>
            <c:numRef>
              <c:f>'2D_Flap0_to_20_2ndOrderComplica'!$Z$23:$Z$33</c:f>
              <c:numCache>
                <c:formatCode>General</c:formatCode>
                <c:ptCount val="11"/>
                <c:pt idx="0">
                  <c:v>0.26637</c:v>
                </c:pt>
                <c:pt idx="1">
                  <c:v>0.49187599999999998</c:v>
                </c:pt>
                <c:pt idx="2">
                  <c:v>0.717615</c:v>
                </c:pt>
                <c:pt idx="3">
                  <c:v>0.94014699999999995</c:v>
                </c:pt>
                <c:pt idx="4">
                  <c:v>1.1578809999999999</c:v>
                </c:pt>
                <c:pt idx="5">
                  <c:v>1.372142</c:v>
                </c:pt>
                <c:pt idx="6">
                  <c:v>1.576886</c:v>
                </c:pt>
                <c:pt idx="7">
                  <c:v>1.7735590000000001</c:v>
                </c:pt>
                <c:pt idx="8">
                  <c:v>1.9570669999999999</c:v>
                </c:pt>
                <c:pt idx="9">
                  <c:v>2.1099640000000002</c:v>
                </c:pt>
                <c:pt idx="10">
                  <c:v>2.0578690000000002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E0-44D2-AE87-B4D9B61FAE80}"/>
            </c:ext>
          </c:extLst>
        </c:ser>
        <c:ser>
          <c:idx val="3"/>
          <c:order val="3"/>
          <c:tx>
            <c:strRef>
              <c:f>'2D_Flap0_to_20_2ndOrderComplica'!$M$34</c:f>
              <c:strCache>
                <c:ptCount val="1"/>
                <c:pt idx="0">
                  <c:v>New_flap15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'2D_Flap0_to_20_2ndOrderComplica'!$C$34:$C$44</c:f>
              <c:numCache>
                <c:formatCode>General</c:formatCode>
                <c:ptCount val="11"/>
                <c:pt idx="0">
                  <c:v>-6</c:v>
                </c:pt>
                <c:pt idx="1">
                  <c:v>-4</c:v>
                </c:pt>
                <c:pt idx="2">
                  <c:v>-2</c:v>
                </c:pt>
                <c:pt idx="3">
                  <c:v>0</c:v>
                </c:pt>
                <c:pt idx="4">
                  <c:v>2</c:v>
                </c:pt>
                <c:pt idx="5">
                  <c:v>4</c:v>
                </c:pt>
                <c:pt idx="6">
                  <c:v>6</c:v>
                </c:pt>
                <c:pt idx="7">
                  <c:v>8</c:v>
                </c:pt>
                <c:pt idx="8">
                  <c:v>10</c:v>
                </c:pt>
                <c:pt idx="9">
                  <c:v>12</c:v>
                </c:pt>
                <c:pt idx="10">
                  <c:v>14</c:v>
                </c:pt>
              </c:numCache>
            </c:numRef>
          </c:xVal>
          <c:yVal>
            <c:numRef>
              <c:f>'2D_Flap0_to_20_2ndOrderComplica'!$Z$34:$Z$44</c:f>
              <c:numCache>
                <c:formatCode>General</c:formatCode>
                <c:ptCount val="11"/>
                <c:pt idx="0">
                  <c:v>0.70021900000000004</c:v>
                </c:pt>
                <c:pt idx="1">
                  <c:v>0.92184100000000002</c:v>
                </c:pt>
                <c:pt idx="2">
                  <c:v>1.1427240000000001</c:v>
                </c:pt>
                <c:pt idx="3">
                  <c:v>1.358611</c:v>
                </c:pt>
                <c:pt idx="4">
                  <c:v>1.569096</c:v>
                </c:pt>
                <c:pt idx="5">
                  <c:v>1.772583</c:v>
                </c:pt>
                <c:pt idx="6">
                  <c:v>1.9658359999999999</c:v>
                </c:pt>
                <c:pt idx="7">
                  <c:v>2.1464270000000001</c:v>
                </c:pt>
                <c:pt idx="8">
                  <c:v>2.307547</c:v>
                </c:pt>
                <c:pt idx="9">
                  <c:v>2.4211559999999999</c:v>
                </c:pt>
                <c:pt idx="10">
                  <c:v>2.1751909999999999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E0-44D2-AE87-B4D9B61FAE80}"/>
            </c:ext>
          </c:extLst>
        </c:ser>
        <c:ser>
          <c:idx val="4"/>
          <c:order val="4"/>
          <c:tx>
            <c:strRef>
              <c:f>'2D_Flap0_to_20_2ndOrderComplica'!$M$45</c:f>
              <c:strCache>
                <c:ptCount val="1"/>
                <c:pt idx="0">
                  <c:v>New_flap20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'2D_Flap0_to_20_2ndOrderComplica'!$C$45:$C$55</c:f>
              <c:numCache>
                <c:formatCode>General</c:formatCode>
                <c:ptCount val="11"/>
                <c:pt idx="0">
                  <c:v>-6</c:v>
                </c:pt>
                <c:pt idx="1">
                  <c:v>-4</c:v>
                </c:pt>
                <c:pt idx="2">
                  <c:v>-2</c:v>
                </c:pt>
                <c:pt idx="3">
                  <c:v>0</c:v>
                </c:pt>
                <c:pt idx="4">
                  <c:v>2</c:v>
                </c:pt>
                <c:pt idx="5">
                  <c:v>4</c:v>
                </c:pt>
                <c:pt idx="6">
                  <c:v>6</c:v>
                </c:pt>
                <c:pt idx="7">
                  <c:v>8</c:v>
                </c:pt>
                <c:pt idx="8">
                  <c:v>10</c:v>
                </c:pt>
                <c:pt idx="9">
                  <c:v>12</c:v>
                </c:pt>
                <c:pt idx="10">
                  <c:v>14</c:v>
                </c:pt>
              </c:numCache>
            </c:numRef>
          </c:xVal>
          <c:yVal>
            <c:numRef>
              <c:f>'2D_Flap0_to_20_2ndOrderComplica'!$Z$45:$Z$55</c:f>
              <c:numCache>
                <c:formatCode>General</c:formatCode>
                <c:ptCount val="11"/>
                <c:pt idx="0">
                  <c:v>1.1200479999999999</c:v>
                </c:pt>
                <c:pt idx="1">
                  <c:v>1.334889</c:v>
                </c:pt>
                <c:pt idx="2">
                  <c:v>1.546486</c:v>
                </c:pt>
                <c:pt idx="3">
                  <c:v>1.7518009999999999</c:v>
                </c:pt>
                <c:pt idx="4">
                  <c:v>1.950494</c:v>
                </c:pt>
                <c:pt idx="5">
                  <c:v>2.1384599999999998</c:v>
                </c:pt>
                <c:pt idx="6">
                  <c:v>2.3140269999999998</c:v>
                </c:pt>
                <c:pt idx="7">
                  <c:v>2.4735360000000002</c:v>
                </c:pt>
                <c:pt idx="8">
                  <c:v>2.6042779999999999</c:v>
                </c:pt>
                <c:pt idx="9">
                  <c:v>2.6582819999999998</c:v>
                </c:pt>
                <c:pt idx="10">
                  <c:v>1.328864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E0-44D2-AE87-B4D9B61FAE80}"/>
            </c:ext>
          </c:extLst>
        </c:ser>
        <c:ser>
          <c:idx val="5"/>
          <c:order val="5"/>
          <c:tx>
            <c:strRef>
              <c:f>'2D_Flap0_to_20_2ndOrderComplica'!$M$56</c:f>
              <c:strCache>
                <c:ptCount val="1"/>
                <c:pt idx="0">
                  <c:v>New_flap25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'2D_Flap0_to_20_2ndOrderComplica'!$C$56:$C$66</c:f>
              <c:numCache>
                <c:formatCode>General</c:formatCode>
                <c:ptCount val="11"/>
                <c:pt idx="0">
                  <c:v>-6</c:v>
                </c:pt>
                <c:pt idx="1">
                  <c:v>-4</c:v>
                </c:pt>
                <c:pt idx="2">
                  <c:v>-2</c:v>
                </c:pt>
                <c:pt idx="3">
                  <c:v>0</c:v>
                </c:pt>
                <c:pt idx="4">
                  <c:v>2</c:v>
                </c:pt>
                <c:pt idx="5">
                  <c:v>4</c:v>
                </c:pt>
                <c:pt idx="6">
                  <c:v>6</c:v>
                </c:pt>
                <c:pt idx="7">
                  <c:v>8</c:v>
                </c:pt>
                <c:pt idx="8">
                  <c:v>10</c:v>
                </c:pt>
                <c:pt idx="9">
                  <c:v>12</c:v>
                </c:pt>
                <c:pt idx="10">
                  <c:v>14</c:v>
                </c:pt>
              </c:numCache>
            </c:numRef>
          </c:xVal>
          <c:yVal>
            <c:numRef>
              <c:f>'2D_Flap0_to_20_2ndOrderComplica'!$Z$56:$Z$66</c:f>
              <c:numCache>
                <c:formatCode>General</c:formatCode>
                <c:ptCount val="11"/>
                <c:pt idx="0">
                  <c:v>1.527077</c:v>
                </c:pt>
                <c:pt idx="1">
                  <c:v>1.7324109999999999</c:v>
                </c:pt>
                <c:pt idx="2">
                  <c:v>1.931465</c:v>
                </c:pt>
                <c:pt idx="3">
                  <c:v>2.1224729999999998</c:v>
                </c:pt>
                <c:pt idx="4">
                  <c:v>2.3041580000000002</c:v>
                </c:pt>
                <c:pt idx="5">
                  <c:v>2.4731900000000002</c:v>
                </c:pt>
                <c:pt idx="6">
                  <c:v>2.6267960000000001</c:v>
                </c:pt>
                <c:pt idx="7">
                  <c:v>2.7600169999999999</c:v>
                </c:pt>
                <c:pt idx="8">
                  <c:v>2.8527680000000002</c:v>
                </c:pt>
                <c:pt idx="9">
                  <c:v>2.7974350000000001</c:v>
                </c:pt>
                <c:pt idx="10">
                  <c:v>1.520235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9E0-44D2-AE87-B4D9B61FAE80}"/>
            </c:ext>
          </c:extLst>
        </c:ser>
        <c:ser>
          <c:idx val="6"/>
          <c:order val="6"/>
          <c:tx>
            <c:strRef>
              <c:f>'2D_Flap0_to_20_2ndOrderComplica'!$M$67</c:f>
              <c:strCache>
                <c:ptCount val="1"/>
                <c:pt idx="0">
                  <c:v>New_flap30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'2D_Flap0_to_20_2ndOrderComplica'!$C$67:$C$76</c:f>
              <c:numCache>
                <c:formatCode>General</c:formatCode>
                <c:ptCount val="10"/>
                <c:pt idx="0">
                  <c:v>-6</c:v>
                </c:pt>
                <c:pt idx="1">
                  <c:v>-4</c:v>
                </c:pt>
                <c:pt idx="2">
                  <c:v>-2</c:v>
                </c:pt>
                <c:pt idx="3">
                  <c:v>0</c:v>
                </c:pt>
                <c:pt idx="4">
                  <c:v>2</c:v>
                </c:pt>
                <c:pt idx="5">
                  <c:v>4</c:v>
                </c:pt>
                <c:pt idx="6">
                  <c:v>6</c:v>
                </c:pt>
                <c:pt idx="7">
                  <c:v>8</c:v>
                </c:pt>
                <c:pt idx="8">
                  <c:v>10</c:v>
                </c:pt>
                <c:pt idx="9">
                  <c:v>12</c:v>
                </c:pt>
              </c:numCache>
            </c:numRef>
          </c:xVal>
          <c:yVal>
            <c:numRef>
              <c:f>'2D_Flap0_to_20_2ndOrderComplica'!$Z$67:$Z$76</c:f>
              <c:numCache>
                <c:formatCode>General</c:formatCode>
                <c:ptCount val="10"/>
                <c:pt idx="0">
                  <c:v>1.899775</c:v>
                </c:pt>
                <c:pt idx="1">
                  <c:v>2.087221</c:v>
                </c:pt>
                <c:pt idx="2">
                  <c:v>2.2677999999999998</c:v>
                </c:pt>
                <c:pt idx="3">
                  <c:v>2.4306399999999999</c:v>
                </c:pt>
                <c:pt idx="4">
                  <c:v>2.5872389999999998</c:v>
                </c:pt>
                <c:pt idx="5">
                  <c:v>2.7269540000000001</c:v>
                </c:pt>
                <c:pt idx="6">
                  <c:v>2.8619490000000001</c:v>
                </c:pt>
                <c:pt idx="7">
                  <c:v>2.9768349999999999</c:v>
                </c:pt>
                <c:pt idx="8">
                  <c:v>3.0195430000000001</c:v>
                </c:pt>
                <c:pt idx="9">
                  <c:v>2.754114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9E0-44D2-AE87-B4D9B61FA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374367"/>
        <c:axId val="1846910415"/>
        <c:extLst/>
      </c:scatterChart>
      <c:valAx>
        <c:axId val="2072374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AoA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6910415"/>
        <c:crosses val="autoZero"/>
        <c:crossBetween val="midCat"/>
      </c:valAx>
      <c:valAx>
        <c:axId val="1846910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723743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Cd f(Cl)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a6v_singlewing_2d_results!$B$2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a6v_singlewing_2d_results!$C$2:$C$9</c:f>
              <c:numCache>
                <c:formatCode>General</c:formatCode>
                <c:ptCount val="8"/>
                <c:pt idx="0">
                  <c:v>-0.184</c:v>
                </c:pt>
                <c:pt idx="1">
                  <c:v>0.26500000000000001</c:v>
                </c:pt>
                <c:pt idx="2">
                  <c:v>0.71399999999999997</c:v>
                </c:pt>
                <c:pt idx="3">
                  <c:v>1.1559999999999999</c:v>
                </c:pt>
                <c:pt idx="4">
                  <c:v>1.583</c:v>
                </c:pt>
                <c:pt idx="5">
                  <c:v>1.982</c:v>
                </c:pt>
                <c:pt idx="6">
                  <c:v>2.0760000000000001</c:v>
                </c:pt>
                <c:pt idx="7">
                  <c:v>2.1629999999999998</c:v>
                </c:pt>
              </c:numCache>
            </c:numRef>
          </c:xVal>
          <c:yVal>
            <c:numRef>
              <c:f>a6v_singlewing_2d_results!$D$2:$D$9</c:f>
              <c:numCache>
                <c:formatCode>General</c:formatCode>
                <c:ptCount val="8"/>
                <c:pt idx="0">
                  <c:v>0.01</c:v>
                </c:pt>
                <c:pt idx="1">
                  <c:v>8.9999999999999993E-3</c:v>
                </c:pt>
                <c:pt idx="2">
                  <c:v>0.01</c:v>
                </c:pt>
                <c:pt idx="3">
                  <c:v>1.2E-2</c:v>
                </c:pt>
                <c:pt idx="4">
                  <c:v>1.7000000000000001E-2</c:v>
                </c:pt>
                <c:pt idx="5">
                  <c:v>2.5000000000000001E-2</c:v>
                </c:pt>
                <c:pt idx="6">
                  <c:v>2.8000000000000001E-2</c:v>
                </c:pt>
                <c:pt idx="7">
                  <c:v>3.2000000000000001E-2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34-43C1-BC93-F330FE9524D9}"/>
            </c:ext>
          </c:extLst>
        </c:ser>
        <c:ser>
          <c:idx val="1"/>
          <c:order val="1"/>
          <c:tx>
            <c:strRef>
              <c:f>a6v_singlewing_2d_results!$B$10</c:f>
              <c:strCache>
                <c:ptCount val="1"/>
                <c:pt idx="0">
                  <c:v>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a6v_singlewing_2d_results!$C$10:$C$16</c:f>
              <c:numCache>
                <c:formatCode>General</c:formatCode>
                <c:ptCount val="7"/>
                <c:pt idx="0">
                  <c:v>0.251</c:v>
                </c:pt>
                <c:pt idx="1">
                  <c:v>0.70199999999999996</c:v>
                </c:pt>
                <c:pt idx="2">
                  <c:v>1.1439999999999999</c:v>
                </c:pt>
                <c:pt idx="3">
                  <c:v>1.575</c:v>
                </c:pt>
                <c:pt idx="4">
                  <c:v>1.98</c:v>
                </c:pt>
                <c:pt idx="5">
                  <c:v>2.3490000000000002</c:v>
                </c:pt>
                <c:pt idx="6">
                  <c:v>2.4329999999999998</c:v>
                </c:pt>
              </c:numCache>
            </c:numRef>
          </c:xVal>
          <c:yVal>
            <c:numRef>
              <c:f>a6v_singlewing_2d_results!$D$10:$D$16</c:f>
              <c:numCache>
                <c:formatCode>General</c:formatCode>
                <c:ptCount val="7"/>
                <c:pt idx="0">
                  <c:v>8.9999999999999993E-3</c:v>
                </c:pt>
                <c:pt idx="1">
                  <c:v>0.01</c:v>
                </c:pt>
                <c:pt idx="2">
                  <c:v>1.2E-2</c:v>
                </c:pt>
                <c:pt idx="3">
                  <c:v>1.4999999999999999E-2</c:v>
                </c:pt>
                <c:pt idx="4">
                  <c:v>2.1999999999999999E-2</c:v>
                </c:pt>
                <c:pt idx="5">
                  <c:v>3.2000000000000001E-2</c:v>
                </c:pt>
                <c:pt idx="6">
                  <c:v>3.4000000000000002E-2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34-43C1-BC93-F330FE9524D9}"/>
            </c:ext>
          </c:extLst>
        </c:ser>
        <c:ser>
          <c:idx val="2"/>
          <c:order val="2"/>
          <c:tx>
            <c:strRef>
              <c:f>a6v_singlewing_2d_results!$B$17</c:f>
              <c:strCache>
                <c:ptCount val="1"/>
                <c:pt idx="0">
                  <c:v>20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a6v_singlewing_2d_results!$C$17:$C$23</c:f>
              <c:numCache>
                <c:formatCode>General</c:formatCode>
                <c:ptCount val="7"/>
                <c:pt idx="0">
                  <c:v>0.68400000000000005</c:v>
                </c:pt>
                <c:pt idx="1">
                  <c:v>1.129</c:v>
                </c:pt>
                <c:pt idx="2">
                  <c:v>1.56</c:v>
                </c:pt>
                <c:pt idx="3">
                  <c:v>1.9710000000000001</c:v>
                </c:pt>
                <c:pt idx="4">
                  <c:v>2.35</c:v>
                </c:pt>
                <c:pt idx="5">
                  <c:v>2.6709999999999998</c:v>
                </c:pt>
                <c:pt idx="6">
                  <c:v>2.778</c:v>
                </c:pt>
              </c:numCache>
            </c:numRef>
          </c:xVal>
          <c:yVal>
            <c:numRef>
              <c:f>a6v_singlewing_2d_results!$D$17:$D$23</c:f>
              <c:numCache>
                <c:formatCode>General</c:formatCode>
                <c:ptCount val="7"/>
                <c:pt idx="0">
                  <c:v>0.01</c:v>
                </c:pt>
                <c:pt idx="1">
                  <c:v>1.2E-2</c:v>
                </c:pt>
                <c:pt idx="2">
                  <c:v>1.4999999999999999E-2</c:v>
                </c:pt>
                <c:pt idx="3">
                  <c:v>0.02</c:v>
                </c:pt>
                <c:pt idx="4">
                  <c:v>2.8000000000000001E-2</c:v>
                </c:pt>
                <c:pt idx="5">
                  <c:v>4.1000000000000002E-2</c:v>
                </c:pt>
                <c:pt idx="6">
                  <c:v>5.1999999999999998E-2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34-43C1-BC93-F330FE9524D9}"/>
            </c:ext>
          </c:extLst>
        </c:ser>
        <c:ser>
          <c:idx val="3"/>
          <c:order val="3"/>
          <c:tx>
            <c:strRef>
              <c:f>a6v_singlewing_2d_results!$B$24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a6v_singlewing_2d_results!$C$24:$C$32</c:f>
              <c:numCache>
                <c:formatCode>General</c:formatCode>
                <c:ptCount val="9"/>
                <c:pt idx="0">
                  <c:v>1.111</c:v>
                </c:pt>
                <c:pt idx="1">
                  <c:v>1.542</c:v>
                </c:pt>
                <c:pt idx="2">
                  <c:v>1.952</c:v>
                </c:pt>
                <c:pt idx="3">
                  <c:v>2.3359999999999999</c:v>
                </c:pt>
                <c:pt idx="4">
                  <c:v>2.6760000000000002</c:v>
                </c:pt>
                <c:pt idx="5">
                  <c:v>2.7509999999999999</c:v>
                </c:pt>
                <c:pt idx="6">
                  <c:v>2.819</c:v>
                </c:pt>
                <c:pt idx="7">
                  <c:v>2.8820000000000001</c:v>
                </c:pt>
                <c:pt idx="8">
                  <c:v>2.9340000000000002</c:v>
                </c:pt>
              </c:numCache>
            </c:numRef>
          </c:xVal>
          <c:yVal>
            <c:numRef>
              <c:f>a6v_singlewing_2d_results!$D$24:$D$32</c:f>
              <c:numCache>
                <c:formatCode>General</c:formatCode>
                <c:ptCount val="9"/>
                <c:pt idx="0">
                  <c:v>1.2E-2</c:v>
                </c:pt>
                <c:pt idx="1">
                  <c:v>1.4999999999999999E-2</c:v>
                </c:pt>
                <c:pt idx="2">
                  <c:v>1.9E-2</c:v>
                </c:pt>
                <c:pt idx="3">
                  <c:v>2.5999999999999999E-2</c:v>
                </c:pt>
                <c:pt idx="4">
                  <c:v>3.5999999999999997E-2</c:v>
                </c:pt>
                <c:pt idx="5">
                  <c:v>3.9E-2</c:v>
                </c:pt>
                <c:pt idx="6">
                  <c:v>4.2000000000000003E-2</c:v>
                </c:pt>
                <c:pt idx="7">
                  <c:v>4.7E-2</c:v>
                </c:pt>
                <c:pt idx="8">
                  <c:v>5.0999999999999997E-2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734-43C1-BC93-F330FE9524D9}"/>
            </c:ext>
          </c:extLst>
        </c:ser>
        <c:ser>
          <c:idx val="4"/>
          <c:order val="4"/>
          <c:tx>
            <c:strRef>
              <c:f>a6v_singlewing_2d_results!$B$33</c:f>
              <c:strCache>
                <c:ptCount val="1"/>
                <c:pt idx="0">
                  <c:v>30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a6v_singlewing_2d_results!$C$33:$C$39</c:f>
              <c:numCache>
                <c:formatCode>General</c:formatCode>
                <c:ptCount val="7"/>
                <c:pt idx="0">
                  <c:v>1.508</c:v>
                </c:pt>
                <c:pt idx="1">
                  <c:v>1.913</c:v>
                </c:pt>
                <c:pt idx="2">
                  <c:v>2.29</c:v>
                </c:pt>
                <c:pt idx="3">
                  <c:v>2.6320000000000001</c:v>
                </c:pt>
                <c:pt idx="4">
                  <c:v>2.9079999999999999</c:v>
                </c:pt>
                <c:pt idx="5">
                  <c:v>2.9580000000000002</c:v>
                </c:pt>
                <c:pt idx="6">
                  <c:v>3.0019999999999998</c:v>
                </c:pt>
              </c:numCache>
            </c:numRef>
          </c:xVal>
          <c:yVal>
            <c:numRef>
              <c:f>a6v_singlewing_2d_results!$D$33:$D$39</c:f>
              <c:numCache>
                <c:formatCode>General</c:formatCode>
                <c:ptCount val="7"/>
                <c:pt idx="0">
                  <c:v>1.4999999999999999E-2</c:v>
                </c:pt>
                <c:pt idx="1">
                  <c:v>1.9E-2</c:v>
                </c:pt>
                <c:pt idx="2">
                  <c:v>2.4E-2</c:v>
                </c:pt>
                <c:pt idx="3">
                  <c:v>3.3000000000000002E-2</c:v>
                </c:pt>
                <c:pt idx="4">
                  <c:v>4.4999999999999998E-2</c:v>
                </c:pt>
                <c:pt idx="5">
                  <c:v>4.9000000000000002E-2</c:v>
                </c:pt>
                <c:pt idx="6">
                  <c:v>6.0999999999999999E-2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734-43C1-BC93-F330FE952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6574608"/>
        <c:axId val="1716561712"/>
      </c:scatterChart>
      <c:valAx>
        <c:axId val="1716574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16561712"/>
        <c:crosses val="autoZero"/>
        <c:crossBetween val="midCat"/>
      </c:valAx>
      <c:valAx>
        <c:axId val="171656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16574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Cl f(AoA)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a6v_singlewing_2d_results!$B$2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a6v_singlewing_2d_results!$A$2:$A$9</c:f>
              <c:numCache>
                <c:formatCode>General</c:formatCode>
                <c:ptCount val="8"/>
                <c:pt idx="0">
                  <c:v>-10</c:v>
                </c:pt>
                <c:pt idx="1">
                  <c:v>-6</c:v>
                </c:pt>
                <c:pt idx="2">
                  <c:v>-2</c:v>
                </c:pt>
                <c:pt idx="3">
                  <c:v>2</c:v>
                </c:pt>
                <c:pt idx="4">
                  <c:v>6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</c:numCache>
            </c:numRef>
          </c:xVal>
          <c:yVal>
            <c:numRef>
              <c:f>a6v_singlewing_2d_results!$C$2:$C$9</c:f>
              <c:numCache>
                <c:formatCode>General</c:formatCode>
                <c:ptCount val="8"/>
                <c:pt idx="0">
                  <c:v>-0.184</c:v>
                </c:pt>
                <c:pt idx="1">
                  <c:v>0.26500000000000001</c:v>
                </c:pt>
                <c:pt idx="2">
                  <c:v>0.71399999999999997</c:v>
                </c:pt>
                <c:pt idx="3">
                  <c:v>1.1559999999999999</c:v>
                </c:pt>
                <c:pt idx="4">
                  <c:v>1.583</c:v>
                </c:pt>
                <c:pt idx="5">
                  <c:v>1.982</c:v>
                </c:pt>
                <c:pt idx="6">
                  <c:v>2.0760000000000001</c:v>
                </c:pt>
                <c:pt idx="7">
                  <c:v>2.1629999999999998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30-4A19-A3D6-F4FC897A6CE4}"/>
            </c:ext>
          </c:extLst>
        </c:ser>
        <c:ser>
          <c:idx val="1"/>
          <c:order val="1"/>
          <c:tx>
            <c:strRef>
              <c:f>a6v_singlewing_2d_results!$B$10</c:f>
              <c:strCache>
                <c:ptCount val="1"/>
                <c:pt idx="0">
                  <c:v>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a6v_singlewing_2d_results!$A$10:$A$16</c:f>
              <c:numCache>
                <c:formatCode>General</c:formatCode>
                <c:ptCount val="7"/>
                <c:pt idx="0">
                  <c:v>-10</c:v>
                </c:pt>
                <c:pt idx="1">
                  <c:v>-6</c:v>
                </c:pt>
                <c:pt idx="2">
                  <c:v>-2</c:v>
                </c:pt>
                <c:pt idx="3">
                  <c:v>2</c:v>
                </c:pt>
                <c:pt idx="4">
                  <c:v>6</c:v>
                </c:pt>
                <c:pt idx="5">
                  <c:v>10</c:v>
                </c:pt>
                <c:pt idx="6">
                  <c:v>11</c:v>
                </c:pt>
              </c:numCache>
            </c:numRef>
          </c:xVal>
          <c:yVal>
            <c:numRef>
              <c:f>a6v_singlewing_2d_results!$C$10:$C$16</c:f>
              <c:numCache>
                <c:formatCode>General</c:formatCode>
                <c:ptCount val="7"/>
                <c:pt idx="0">
                  <c:v>0.251</c:v>
                </c:pt>
                <c:pt idx="1">
                  <c:v>0.70199999999999996</c:v>
                </c:pt>
                <c:pt idx="2">
                  <c:v>1.1439999999999999</c:v>
                </c:pt>
                <c:pt idx="3">
                  <c:v>1.575</c:v>
                </c:pt>
                <c:pt idx="4">
                  <c:v>1.98</c:v>
                </c:pt>
                <c:pt idx="5">
                  <c:v>2.3490000000000002</c:v>
                </c:pt>
                <c:pt idx="6">
                  <c:v>2.4329999999999998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30-4A19-A3D6-F4FC897A6CE4}"/>
            </c:ext>
          </c:extLst>
        </c:ser>
        <c:ser>
          <c:idx val="2"/>
          <c:order val="2"/>
          <c:tx>
            <c:strRef>
              <c:f>a6v_singlewing_2d_results!$B$17</c:f>
              <c:strCache>
                <c:ptCount val="1"/>
                <c:pt idx="0">
                  <c:v>20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a6v_singlewing_2d_results!$A$17:$A$23</c:f>
              <c:numCache>
                <c:formatCode>General</c:formatCode>
                <c:ptCount val="7"/>
                <c:pt idx="0">
                  <c:v>-10</c:v>
                </c:pt>
                <c:pt idx="1">
                  <c:v>-6</c:v>
                </c:pt>
                <c:pt idx="2">
                  <c:v>-2</c:v>
                </c:pt>
                <c:pt idx="3">
                  <c:v>2</c:v>
                </c:pt>
                <c:pt idx="4">
                  <c:v>6</c:v>
                </c:pt>
                <c:pt idx="5">
                  <c:v>10</c:v>
                </c:pt>
                <c:pt idx="6">
                  <c:v>12</c:v>
                </c:pt>
              </c:numCache>
            </c:numRef>
          </c:xVal>
          <c:yVal>
            <c:numRef>
              <c:f>a6v_singlewing_2d_results!$C$17:$C$23</c:f>
              <c:numCache>
                <c:formatCode>General</c:formatCode>
                <c:ptCount val="7"/>
                <c:pt idx="0">
                  <c:v>0.68400000000000005</c:v>
                </c:pt>
                <c:pt idx="1">
                  <c:v>1.129</c:v>
                </c:pt>
                <c:pt idx="2">
                  <c:v>1.56</c:v>
                </c:pt>
                <c:pt idx="3">
                  <c:v>1.9710000000000001</c:v>
                </c:pt>
                <c:pt idx="4">
                  <c:v>2.35</c:v>
                </c:pt>
                <c:pt idx="5">
                  <c:v>2.6709999999999998</c:v>
                </c:pt>
                <c:pt idx="6">
                  <c:v>2.778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F30-4A19-A3D6-F4FC897A6CE4}"/>
            </c:ext>
          </c:extLst>
        </c:ser>
        <c:ser>
          <c:idx val="3"/>
          <c:order val="3"/>
          <c:tx>
            <c:strRef>
              <c:f>a6v_singlewing_2d_results!$B$24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a6v_singlewing_2d_results!$A$24:$A$32</c:f>
              <c:numCache>
                <c:formatCode>General</c:formatCode>
                <c:ptCount val="9"/>
                <c:pt idx="0">
                  <c:v>-10</c:v>
                </c:pt>
                <c:pt idx="1">
                  <c:v>-6</c:v>
                </c:pt>
                <c:pt idx="2">
                  <c:v>-2</c:v>
                </c:pt>
                <c:pt idx="3">
                  <c:v>2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xVal>
          <c:yVal>
            <c:numRef>
              <c:f>a6v_singlewing_2d_results!$C$24:$C$32</c:f>
              <c:numCache>
                <c:formatCode>General</c:formatCode>
                <c:ptCount val="9"/>
                <c:pt idx="0">
                  <c:v>1.111</c:v>
                </c:pt>
                <c:pt idx="1">
                  <c:v>1.542</c:v>
                </c:pt>
                <c:pt idx="2">
                  <c:v>1.952</c:v>
                </c:pt>
                <c:pt idx="3">
                  <c:v>2.3359999999999999</c:v>
                </c:pt>
                <c:pt idx="4">
                  <c:v>2.6760000000000002</c:v>
                </c:pt>
                <c:pt idx="5">
                  <c:v>2.7509999999999999</c:v>
                </c:pt>
                <c:pt idx="6">
                  <c:v>2.819</c:v>
                </c:pt>
                <c:pt idx="7">
                  <c:v>2.8820000000000001</c:v>
                </c:pt>
                <c:pt idx="8">
                  <c:v>2.9340000000000002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F30-4A19-A3D6-F4FC897A6CE4}"/>
            </c:ext>
          </c:extLst>
        </c:ser>
        <c:ser>
          <c:idx val="4"/>
          <c:order val="4"/>
          <c:tx>
            <c:strRef>
              <c:f>a6v_singlewing_2d_results!$B$33</c:f>
              <c:strCache>
                <c:ptCount val="1"/>
                <c:pt idx="0">
                  <c:v>30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a6v_singlewing_2d_results!$A$33:$A$39</c:f>
              <c:numCache>
                <c:formatCode>General</c:formatCode>
                <c:ptCount val="7"/>
                <c:pt idx="0">
                  <c:v>-10</c:v>
                </c:pt>
                <c:pt idx="1">
                  <c:v>-6</c:v>
                </c:pt>
                <c:pt idx="2">
                  <c:v>-2</c:v>
                </c:pt>
                <c:pt idx="3">
                  <c:v>2</c:v>
                </c:pt>
                <c:pt idx="4">
                  <c:v>6</c:v>
                </c:pt>
                <c:pt idx="5">
                  <c:v>7</c:v>
                </c:pt>
                <c:pt idx="6">
                  <c:v>9</c:v>
                </c:pt>
              </c:numCache>
            </c:numRef>
          </c:xVal>
          <c:yVal>
            <c:numRef>
              <c:f>a6v_singlewing_2d_results!$C$33:$C$39</c:f>
              <c:numCache>
                <c:formatCode>General</c:formatCode>
                <c:ptCount val="7"/>
                <c:pt idx="0">
                  <c:v>1.508</c:v>
                </c:pt>
                <c:pt idx="1">
                  <c:v>1.913</c:v>
                </c:pt>
                <c:pt idx="2">
                  <c:v>2.29</c:v>
                </c:pt>
                <c:pt idx="3">
                  <c:v>2.6320000000000001</c:v>
                </c:pt>
                <c:pt idx="4">
                  <c:v>2.9079999999999999</c:v>
                </c:pt>
                <c:pt idx="5">
                  <c:v>2.9580000000000002</c:v>
                </c:pt>
                <c:pt idx="6">
                  <c:v>3.0019999999999998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F30-4A19-A3D6-F4FC897A6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6574608"/>
        <c:axId val="1716561712"/>
      </c:scatterChart>
      <c:valAx>
        <c:axId val="1716574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16561712"/>
        <c:crosses val="autoZero"/>
        <c:crossBetween val="midCat"/>
      </c:valAx>
      <c:valAx>
        <c:axId val="171656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16574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214927</xdr:colOff>
      <xdr:row>23</xdr:row>
      <xdr:rowOff>40341</xdr:rowOff>
    </xdr:from>
    <xdr:to>
      <xdr:col>27</xdr:col>
      <xdr:colOff>27902</xdr:colOff>
      <xdr:row>52</xdr:row>
      <xdr:rowOff>3809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78B577B-E41E-B5B2-40F9-A7079A6E8E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512445</xdr:colOff>
      <xdr:row>1</xdr:row>
      <xdr:rowOff>135255</xdr:rowOff>
    </xdr:from>
    <xdr:to>
      <xdr:col>26</xdr:col>
      <xdr:colOff>102870</xdr:colOff>
      <xdr:row>30</xdr:row>
      <xdr:rowOff>49530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1FCE7B5B-ED79-46C2-8B66-0888DB1FA4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144780</xdr:colOff>
      <xdr:row>1</xdr:row>
      <xdr:rowOff>144780</xdr:rowOff>
    </xdr:from>
    <xdr:to>
      <xdr:col>16</xdr:col>
      <xdr:colOff>525780</xdr:colOff>
      <xdr:row>30</xdr:row>
      <xdr:rowOff>57150</xdr:rowOff>
    </xdr:to>
    <xdr:graphicFrame macro="">
      <xdr:nvGraphicFramePr>
        <xdr:cNvPr id="3" name="Graphique 1">
          <a:extLst>
            <a:ext uri="{FF2B5EF4-FFF2-40B4-BE49-F238E27FC236}">
              <a16:creationId xmlns:a16="http://schemas.microsoft.com/office/drawing/2014/main" id="{4C439F18-7B47-4F95-8ABF-7D6B536F15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E76"/>
  <sheetViews>
    <sheetView tabSelected="1" topLeftCell="G1" zoomScale="85" zoomScaleNormal="85" workbookViewId="0">
      <selection activeCell="AB29" sqref="AB29"/>
    </sheetView>
  </sheetViews>
  <sheetFormatPr defaultRowHeight="14.4" x14ac:dyDescent="0.3"/>
  <cols>
    <col min="13" max="13" width="12.44140625" bestFit="1" customWidth="1"/>
    <col min="23" max="23" width="40.109375" bestFit="1" customWidth="1"/>
  </cols>
  <sheetData>
    <row r="1" spans="1:3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</row>
    <row r="2" spans="1:31" s="2" customFormat="1" x14ac:dyDescent="0.3">
      <c r="A2" s="1">
        <v>4</v>
      </c>
      <c r="B2" s="2">
        <v>8.23</v>
      </c>
      <c r="C2" s="2">
        <f>-D2</f>
        <v>-6</v>
      </c>
      <c r="D2" s="2">
        <v>6</v>
      </c>
      <c r="E2" s="2">
        <v>0</v>
      </c>
      <c r="F2" s="2">
        <v>0</v>
      </c>
      <c r="G2" s="2">
        <v>0</v>
      </c>
      <c r="H2" s="2" t="s">
        <v>29</v>
      </c>
      <c r="I2" s="2" t="s">
        <v>30</v>
      </c>
      <c r="J2" s="2" t="s">
        <v>31</v>
      </c>
      <c r="K2" s="2" t="s">
        <v>32</v>
      </c>
      <c r="L2" s="2" t="s">
        <v>33</v>
      </c>
      <c r="M2" s="2" t="s">
        <v>34</v>
      </c>
      <c r="N2" s="2" t="s">
        <v>35</v>
      </c>
      <c r="O2" s="2" t="s">
        <v>35</v>
      </c>
      <c r="P2" s="2" t="s">
        <v>35</v>
      </c>
      <c r="Q2" s="2" t="s">
        <v>36</v>
      </c>
      <c r="R2" s="2" t="s">
        <v>37</v>
      </c>
      <c r="S2" s="2" t="s">
        <v>38</v>
      </c>
      <c r="T2" s="2">
        <v>2</v>
      </c>
      <c r="U2" s="2">
        <v>32</v>
      </c>
      <c r="V2" s="2" t="s">
        <v>39</v>
      </c>
      <c r="W2" s="2" t="s">
        <v>40</v>
      </c>
      <c r="X2" s="2">
        <v>-1.7181999999999999E-2</v>
      </c>
      <c r="Y2" s="3">
        <v>6.2000000000000003E-5</v>
      </c>
      <c r="Z2" s="2">
        <v>-0.45829300000000001</v>
      </c>
      <c r="AA2" s="2">
        <v>6.1499999999999999E-4</v>
      </c>
      <c r="AB2" s="2">
        <v>9.5526E-2</v>
      </c>
      <c r="AC2" s="2">
        <v>3.59E-4</v>
      </c>
    </row>
    <row r="3" spans="1:31" s="5" customFormat="1" x14ac:dyDescent="0.3">
      <c r="A3" s="4">
        <v>4</v>
      </c>
      <c r="B3" s="5">
        <v>8.23</v>
      </c>
      <c r="C3" s="5">
        <f t="shared" ref="C3:C66" si="0">-D3</f>
        <v>-4</v>
      </c>
      <c r="D3" s="5">
        <v>4</v>
      </c>
      <c r="E3" s="5">
        <v>0</v>
      </c>
      <c r="F3" s="5">
        <v>0</v>
      </c>
      <c r="G3" s="5">
        <v>0</v>
      </c>
      <c r="H3" s="5" t="s">
        <v>29</v>
      </c>
      <c r="I3" s="5" t="s">
        <v>30</v>
      </c>
      <c r="J3" s="5" t="s">
        <v>31</v>
      </c>
      <c r="K3" s="5" t="s">
        <v>32</v>
      </c>
      <c r="L3" s="5" t="s">
        <v>33</v>
      </c>
      <c r="M3" s="5" t="s">
        <v>34</v>
      </c>
      <c r="N3" s="5" t="s">
        <v>35</v>
      </c>
      <c r="O3" s="5" t="s">
        <v>35</v>
      </c>
      <c r="P3" s="5" t="s">
        <v>35</v>
      </c>
      <c r="Q3" s="5" t="s">
        <v>36</v>
      </c>
      <c r="R3" s="5" t="s">
        <v>37</v>
      </c>
      <c r="S3" s="5" t="s">
        <v>38</v>
      </c>
      <c r="T3" s="5">
        <v>2</v>
      </c>
      <c r="U3" s="5">
        <v>32</v>
      </c>
      <c r="V3" s="5" t="s">
        <v>41</v>
      </c>
      <c r="W3" s="5" t="s">
        <v>42</v>
      </c>
      <c r="X3" s="5">
        <v>-1.4959999999999999E-2</v>
      </c>
      <c r="Y3" s="6">
        <v>2.8E-5</v>
      </c>
      <c r="Z3" s="5">
        <v>-0.28709899999999999</v>
      </c>
      <c r="AA3" s="5">
        <v>1.34E-4</v>
      </c>
      <c r="AB3" s="5">
        <v>6.8196999999999994E-2</v>
      </c>
      <c r="AC3" s="6">
        <v>8.2000000000000001E-5</v>
      </c>
    </row>
    <row r="4" spans="1:31" s="5" customFormat="1" x14ac:dyDescent="0.3">
      <c r="A4" s="4">
        <v>4</v>
      </c>
      <c r="B4" s="5">
        <v>8.23</v>
      </c>
      <c r="C4" s="5">
        <f t="shared" si="0"/>
        <v>-2</v>
      </c>
      <c r="D4" s="5">
        <v>2</v>
      </c>
      <c r="E4" s="5">
        <v>0</v>
      </c>
      <c r="F4" s="5">
        <v>0</v>
      </c>
      <c r="G4" s="5">
        <v>0</v>
      </c>
      <c r="H4" s="5" t="s">
        <v>29</v>
      </c>
      <c r="I4" s="5" t="s">
        <v>30</v>
      </c>
      <c r="J4" s="5" t="s">
        <v>31</v>
      </c>
      <c r="K4" s="5" t="s">
        <v>32</v>
      </c>
      <c r="L4" s="5" t="s">
        <v>33</v>
      </c>
      <c r="M4" s="5" t="s">
        <v>34</v>
      </c>
      <c r="N4" s="5" t="s">
        <v>35</v>
      </c>
      <c r="O4" s="5" t="s">
        <v>35</v>
      </c>
      <c r="P4" s="5" t="s">
        <v>35</v>
      </c>
      <c r="Q4" s="5" t="s">
        <v>36</v>
      </c>
      <c r="R4" s="5" t="s">
        <v>37</v>
      </c>
      <c r="S4" s="5" t="s">
        <v>38</v>
      </c>
      <c r="T4" s="5">
        <v>2</v>
      </c>
      <c r="U4" s="5">
        <v>32</v>
      </c>
      <c r="V4" s="5" t="s">
        <v>43</v>
      </c>
      <c r="W4" s="5" t="s">
        <v>44</v>
      </c>
      <c r="X4" s="5">
        <v>-1.3769999999999999E-2</v>
      </c>
      <c r="Y4" s="6">
        <v>6.9999999999999999E-6</v>
      </c>
      <c r="Z4" s="5">
        <v>-0.14188700000000001</v>
      </c>
      <c r="AA4" s="6">
        <v>6.9999999999999999E-6</v>
      </c>
      <c r="AB4" s="5">
        <v>3.5470000000000002E-2</v>
      </c>
      <c r="AC4" s="6">
        <v>3.9999999999999998E-6</v>
      </c>
    </row>
    <row r="5" spans="1:31" s="5" customFormat="1" x14ac:dyDescent="0.3">
      <c r="A5" s="4">
        <v>4</v>
      </c>
      <c r="B5" s="5">
        <v>8.23</v>
      </c>
      <c r="C5" s="5">
        <f t="shared" si="0"/>
        <v>0</v>
      </c>
      <c r="D5" s="5">
        <v>0</v>
      </c>
      <c r="E5" s="5">
        <v>0</v>
      </c>
      <c r="F5" s="5">
        <v>0</v>
      </c>
      <c r="G5" s="5">
        <v>0</v>
      </c>
      <c r="H5" s="5" t="s">
        <v>29</v>
      </c>
      <c r="I5" s="5" t="s">
        <v>30</v>
      </c>
      <c r="J5" s="5" t="s">
        <v>31</v>
      </c>
      <c r="K5" s="5" t="s">
        <v>32</v>
      </c>
      <c r="L5" s="5" t="s">
        <v>33</v>
      </c>
      <c r="M5" s="5" t="s">
        <v>34</v>
      </c>
      <c r="N5" s="5" t="s">
        <v>35</v>
      </c>
      <c r="O5" s="5" t="s">
        <v>35</v>
      </c>
      <c r="P5" s="5" t="s">
        <v>35</v>
      </c>
      <c r="Q5" s="5" t="s">
        <v>36</v>
      </c>
      <c r="R5" s="5" t="s">
        <v>37</v>
      </c>
      <c r="S5" s="5" t="s">
        <v>38</v>
      </c>
      <c r="T5" s="5">
        <v>2</v>
      </c>
      <c r="U5" s="5">
        <v>32</v>
      </c>
      <c r="V5" s="5" t="s">
        <v>45</v>
      </c>
      <c r="W5" s="5" t="s">
        <v>46</v>
      </c>
      <c r="X5" s="5">
        <v>-1.3613999999999999E-2</v>
      </c>
      <c r="Y5" s="6">
        <v>5.0000000000000004E-6</v>
      </c>
      <c r="Z5" s="5">
        <v>7.5675000000000006E-2</v>
      </c>
      <c r="AA5" s="6">
        <v>6.9999999999999999E-6</v>
      </c>
      <c r="AB5" s="5">
        <v>1.0999E-2</v>
      </c>
      <c r="AC5" s="6">
        <v>3.0000000000000001E-6</v>
      </c>
    </row>
    <row r="6" spans="1:31" s="5" customFormat="1" x14ac:dyDescent="0.3">
      <c r="A6" s="4">
        <v>4</v>
      </c>
      <c r="B6" s="5">
        <v>8.23</v>
      </c>
      <c r="C6" s="5">
        <f t="shared" si="0"/>
        <v>2</v>
      </c>
      <c r="D6" s="5">
        <v>-2</v>
      </c>
      <c r="E6" s="5">
        <v>0</v>
      </c>
      <c r="F6" s="5">
        <v>0</v>
      </c>
      <c r="G6" s="5">
        <v>0</v>
      </c>
      <c r="H6" s="5" t="s">
        <v>29</v>
      </c>
      <c r="I6" s="5" t="s">
        <v>30</v>
      </c>
      <c r="J6" s="5" t="s">
        <v>31</v>
      </c>
      <c r="K6" s="5" t="s">
        <v>32</v>
      </c>
      <c r="L6" s="5" t="s">
        <v>33</v>
      </c>
      <c r="M6" s="5" t="s">
        <v>34</v>
      </c>
      <c r="N6" s="5" t="s">
        <v>35</v>
      </c>
      <c r="O6" s="5" t="s">
        <v>35</v>
      </c>
      <c r="P6" s="5" t="s">
        <v>35</v>
      </c>
      <c r="Q6" s="5" t="s">
        <v>36</v>
      </c>
      <c r="R6" s="5" t="s">
        <v>37</v>
      </c>
      <c r="S6" s="5" t="s">
        <v>38</v>
      </c>
      <c r="T6" s="5">
        <v>2</v>
      </c>
      <c r="U6" s="5">
        <v>32</v>
      </c>
      <c r="V6" s="5" t="s">
        <v>47</v>
      </c>
      <c r="W6" s="5" t="s">
        <v>48</v>
      </c>
      <c r="X6" s="5">
        <v>-1.4546999999999999E-2</v>
      </c>
      <c r="Y6" s="6">
        <v>6.9999999999999999E-6</v>
      </c>
      <c r="Z6" s="5">
        <v>0.29792200000000002</v>
      </c>
      <c r="AA6" s="6">
        <v>2.4000000000000001E-5</v>
      </c>
      <c r="AB6" s="5">
        <v>-1.2279E-2</v>
      </c>
      <c r="AC6" s="6">
        <v>9.0000000000000002E-6</v>
      </c>
    </row>
    <row r="7" spans="1:31" s="5" customFormat="1" x14ac:dyDescent="0.3">
      <c r="A7" s="4">
        <v>4</v>
      </c>
      <c r="B7" s="5">
        <v>8.23</v>
      </c>
      <c r="C7" s="5">
        <f t="shared" si="0"/>
        <v>4</v>
      </c>
      <c r="D7" s="5">
        <v>-4</v>
      </c>
      <c r="E7" s="5">
        <v>0</v>
      </c>
      <c r="F7" s="5">
        <v>0</v>
      </c>
      <c r="G7" s="5">
        <v>0</v>
      </c>
      <c r="H7" s="5" t="s">
        <v>29</v>
      </c>
      <c r="I7" s="5" t="s">
        <v>30</v>
      </c>
      <c r="J7" s="5" t="s">
        <v>31</v>
      </c>
      <c r="K7" s="5" t="s">
        <v>32</v>
      </c>
      <c r="L7" s="5" t="s">
        <v>33</v>
      </c>
      <c r="M7" s="5" t="s">
        <v>34</v>
      </c>
      <c r="N7" s="5" t="s">
        <v>35</v>
      </c>
      <c r="O7" s="5" t="s">
        <v>35</v>
      </c>
      <c r="P7" s="5" t="s">
        <v>35</v>
      </c>
      <c r="Q7" s="5" t="s">
        <v>36</v>
      </c>
      <c r="R7" s="5" t="s">
        <v>37</v>
      </c>
      <c r="S7" s="5" t="s">
        <v>38</v>
      </c>
      <c r="T7" s="5">
        <v>2</v>
      </c>
      <c r="U7" s="5">
        <v>32</v>
      </c>
      <c r="V7" s="5" t="s">
        <v>49</v>
      </c>
      <c r="W7" s="5" t="s">
        <v>50</v>
      </c>
      <c r="X7" s="5">
        <v>-1.6348000000000001E-2</v>
      </c>
      <c r="Y7" s="6">
        <v>1.8E-5</v>
      </c>
      <c r="Z7" s="5">
        <v>0.51924700000000001</v>
      </c>
      <c r="AA7" s="6">
        <v>8.3999999999999995E-5</v>
      </c>
      <c r="AB7" s="5">
        <v>-3.5138999999999997E-2</v>
      </c>
      <c r="AC7" s="6">
        <v>2.9E-5</v>
      </c>
    </row>
    <row r="8" spans="1:31" s="5" customFormat="1" x14ac:dyDescent="0.3">
      <c r="A8" s="4">
        <v>4</v>
      </c>
      <c r="B8" s="5">
        <v>8.23</v>
      </c>
      <c r="C8" s="5">
        <f t="shared" si="0"/>
        <v>6</v>
      </c>
      <c r="D8" s="5">
        <v>-6</v>
      </c>
      <c r="E8" s="5">
        <v>0</v>
      </c>
      <c r="F8" s="5">
        <v>0</v>
      </c>
      <c r="G8" s="5">
        <v>0</v>
      </c>
      <c r="H8" s="5" t="s">
        <v>29</v>
      </c>
      <c r="I8" s="5" t="s">
        <v>30</v>
      </c>
      <c r="J8" s="5" t="s">
        <v>31</v>
      </c>
      <c r="K8" s="5" t="s">
        <v>32</v>
      </c>
      <c r="L8" s="5" t="s">
        <v>33</v>
      </c>
      <c r="M8" s="5" t="s">
        <v>34</v>
      </c>
      <c r="N8" s="5" t="s">
        <v>35</v>
      </c>
      <c r="O8" s="5" t="s">
        <v>35</v>
      </c>
      <c r="P8" s="5" t="s">
        <v>35</v>
      </c>
      <c r="Q8" s="5" t="s">
        <v>36</v>
      </c>
      <c r="R8" s="5" t="s">
        <v>37</v>
      </c>
      <c r="S8" s="5" t="s">
        <v>38</v>
      </c>
      <c r="T8" s="5">
        <v>2</v>
      </c>
      <c r="U8" s="5">
        <v>32</v>
      </c>
      <c r="V8" s="5" t="s">
        <v>51</v>
      </c>
      <c r="W8" s="5" t="s">
        <v>52</v>
      </c>
      <c r="X8" s="5">
        <v>-1.9255000000000001E-2</v>
      </c>
      <c r="Y8" s="6">
        <v>7.9999999999999996E-6</v>
      </c>
      <c r="Z8" s="5">
        <v>0.73816199999999998</v>
      </c>
      <c r="AA8" s="6">
        <v>2.5999999999999998E-5</v>
      </c>
      <c r="AB8" s="5">
        <v>-5.7550999999999998E-2</v>
      </c>
      <c r="AC8" s="6">
        <v>9.0000000000000002E-6</v>
      </c>
    </row>
    <row r="9" spans="1:31" s="5" customFormat="1" x14ac:dyDescent="0.3">
      <c r="A9" s="4">
        <v>4</v>
      </c>
      <c r="B9" s="5">
        <v>8.23</v>
      </c>
      <c r="C9" s="5">
        <f t="shared" si="0"/>
        <v>8</v>
      </c>
      <c r="D9" s="5">
        <v>-8</v>
      </c>
      <c r="E9" s="5">
        <v>0</v>
      </c>
      <c r="F9" s="5">
        <v>0</v>
      </c>
      <c r="G9" s="5">
        <v>0</v>
      </c>
      <c r="H9" s="5" t="s">
        <v>29</v>
      </c>
      <c r="I9" s="5" t="s">
        <v>30</v>
      </c>
      <c r="J9" s="5" t="s">
        <v>31</v>
      </c>
      <c r="K9" s="5" t="s">
        <v>32</v>
      </c>
      <c r="L9" s="5" t="s">
        <v>33</v>
      </c>
      <c r="M9" s="5" t="s">
        <v>34</v>
      </c>
      <c r="N9" s="5" t="s">
        <v>35</v>
      </c>
      <c r="O9" s="5" t="s">
        <v>35</v>
      </c>
      <c r="P9" s="5" t="s">
        <v>35</v>
      </c>
      <c r="Q9" s="5" t="s">
        <v>36</v>
      </c>
      <c r="R9" s="5" t="s">
        <v>37</v>
      </c>
      <c r="S9" s="5" t="s">
        <v>38</v>
      </c>
      <c r="T9" s="5">
        <v>2</v>
      </c>
      <c r="U9" s="5">
        <v>32</v>
      </c>
      <c r="V9" s="5" t="s">
        <v>53</v>
      </c>
      <c r="W9" s="5" t="s">
        <v>54</v>
      </c>
      <c r="X9" s="5">
        <v>-2.3331000000000001E-2</v>
      </c>
      <c r="Y9" s="6">
        <v>1.5999999999999999E-5</v>
      </c>
      <c r="Z9" s="5">
        <v>0.95339499999999999</v>
      </c>
      <c r="AA9" s="6">
        <v>2.3E-5</v>
      </c>
      <c r="AB9" s="5">
        <v>-7.9972000000000001E-2</v>
      </c>
      <c r="AC9" s="6">
        <v>6.9999999999999999E-6</v>
      </c>
    </row>
    <row r="10" spans="1:31" s="5" customFormat="1" x14ac:dyDescent="0.3">
      <c r="A10" s="4">
        <v>4</v>
      </c>
      <c r="B10" s="5">
        <v>8.23</v>
      </c>
      <c r="C10" s="5">
        <f t="shared" si="0"/>
        <v>10</v>
      </c>
      <c r="D10" s="5">
        <v>-10</v>
      </c>
      <c r="E10" s="5">
        <v>0</v>
      </c>
      <c r="F10" s="5">
        <v>0</v>
      </c>
      <c r="G10" s="5">
        <v>0</v>
      </c>
      <c r="H10" s="5" t="s">
        <v>29</v>
      </c>
      <c r="I10" s="5" t="s">
        <v>30</v>
      </c>
      <c r="J10" s="5" t="s">
        <v>31</v>
      </c>
      <c r="K10" s="5" t="s">
        <v>32</v>
      </c>
      <c r="L10" s="5" t="s">
        <v>33</v>
      </c>
      <c r="M10" s="5" t="s">
        <v>34</v>
      </c>
      <c r="N10" s="5" t="s">
        <v>35</v>
      </c>
      <c r="O10" s="5" t="s">
        <v>35</v>
      </c>
      <c r="P10" s="5" t="s">
        <v>35</v>
      </c>
      <c r="Q10" s="5" t="s">
        <v>36</v>
      </c>
      <c r="R10" s="5" t="s">
        <v>37</v>
      </c>
      <c r="S10" s="5" t="s">
        <v>38</v>
      </c>
      <c r="T10" s="5">
        <v>2</v>
      </c>
      <c r="U10" s="5">
        <v>32</v>
      </c>
      <c r="V10" s="5" t="s">
        <v>55</v>
      </c>
      <c r="W10" s="5" t="s">
        <v>56</v>
      </c>
      <c r="X10" s="5">
        <v>-2.9170000000000001E-2</v>
      </c>
      <c r="Y10" s="6">
        <v>1.5E-5</v>
      </c>
      <c r="Z10" s="5">
        <v>1.163492</v>
      </c>
      <c r="AA10" s="6">
        <v>3.4E-5</v>
      </c>
      <c r="AB10" s="5">
        <v>-0.10276399999999999</v>
      </c>
      <c r="AC10" s="6">
        <v>9.0000000000000002E-6</v>
      </c>
      <c r="AE10" s="5" t="s">
        <v>195</v>
      </c>
    </row>
    <row r="11" spans="1:31" s="8" customFormat="1" x14ac:dyDescent="0.3">
      <c r="A11" s="7">
        <v>4</v>
      </c>
      <c r="B11" s="8">
        <v>8.23</v>
      </c>
      <c r="C11" s="8">
        <f t="shared" si="0"/>
        <v>12</v>
      </c>
      <c r="D11" s="8">
        <v>-12</v>
      </c>
      <c r="E11" s="8">
        <v>0</v>
      </c>
      <c r="F11" s="8">
        <v>0</v>
      </c>
      <c r="G11" s="8">
        <v>0</v>
      </c>
      <c r="H11" s="8" t="s">
        <v>29</v>
      </c>
      <c r="I11" s="8" t="s">
        <v>30</v>
      </c>
      <c r="J11" s="8" t="s">
        <v>31</v>
      </c>
      <c r="K11" s="8" t="s">
        <v>32</v>
      </c>
      <c r="L11" s="8" t="s">
        <v>33</v>
      </c>
      <c r="M11" s="8" t="s">
        <v>34</v>
      </c>
      <c r="N11" s="8" t="s">
        <v>35</v>
      </c>
      <c r="O11" s="8" t="s">
        <v>35</v>
      </c>
      <c r="P11" s="8" t="s">
        <v>35</v>
      </c>
      <c r="Q11" s="8" t="s">
        <v>36</v>
      </c>
      <c r="R11" s="8" t="s">
        <v>37</v>
      </c>
      <c r="S11" s="8" t="s">
        <v>38</v>
      </c>
      <c r="T11" s="8">
        <v>2</v>
      </c>
      <c r="U11" s="8">
        <v>32</v>
      </c>
      <c r="V11" s="8" t="s">
        <v>57</v>
      </c>
      <c r="W11" s="8" t="s">
        <v>58</v>
      </c>
      <c r="X11" s="8">
        <v>-3.8573000000000003E-2</v>
      </c>
      <c r="Y11" s="9">
        <v>1.5E-5</v>
      </c>
      <c r="Z11" s="8">
        <v>1.3603639999999999</v>
      </c>
      <c r="AA11" s="9">
        <v>3.4E-5</v>
      </c>
      <c r="AB11" s="8">
        <v>-0.12626100000000001</v>
      </c>
      <c r="AC11" s="9">
        <v>1.0000000000000001E-5</v>
      </c>
      <c r="AE11" s="8">
        <f>MAX(Z2:Z11)</f>
        <v>1.3603639999999999</v>
      </c>
    </row>
    <row r="12" spans="1:31" s="2" customFormat="1" x14ac:dyDescent="0.3">
      <c r="A12" s="1">
        <v>4</v>
      </c>
      <c r="B12" s="2">
        <v>8.23</v>
      </c>
      <c r="C12" s="2">
        <f t="shared" si="0"/>
        <v>-6</v>
      </c>
      <c r="D12" s="2">
        <v>6</v>
      </c>
      <c r="E12" s="2">
        <v>0</v>
      </c>
      <c r="F12" s="2">
        <v>0</v>
      </c>
      <c r="G12" s="2">
        <v>0</v>
      </c>
      <c r="H12" s="2" t="s">
        <v>29</v>
      </c>
      <c r="I12" s="2" t="s">
        <v>30</v>
      </c>
      <c r="J12" s="2" t="s">
        <v>31</v>
      </c>
      <c r="K12" s="2" t="s">
        <v>32</v>
      </c>
      <c r="L12" s="2" t="s">
        <v>33</v>
      </c>
      <c r="M12" s="2" t="s">
        <v>59</v>
      </c>
      <c r="N12" s="2" t="s">
        <v>35</v>
      </c>
      <c r="O12" s="2" t="s">
        <v>35</v>
      </c>
      <c r="P12" s="2" t="s">
        <v>35</v>
      </c>
      <c r="Q12" s="2" t="s">
        <v>36</v>
      </c>
      <c r="R12" s="2" t="s">
        <v>37</v>
      </c>
      <c r="S12" s="2" t="s">
        <v>38</v>
      </c>
      <c r="T12" s="2">
        <v>2</v>
      </c>
      <c r="U12" s="2">
        <v>32</v>
      </c>
      <c r="V12" s="2" t="s">
        <v>60</v>
      </c>
      <c r="W12" s="2" t="s">
        <v>61</v>
      </c>
      <c r="X12" s="2">
        <v>-1.4279999999999999E-2</v>
      </c>
      <c r="Y12" s="3">
        <v>6.9999999999999999E-6</v>
      </c>
      <c r="Z12" s="2">
        <v>-0.15776699999999999</v>
      </c>
      <c r="AA12" s="3">
        <v>1.2E-5</v>
      </c>
      <c r="AB12" s="2">
        <v>-7.5830000000000003E-3</v>
      </c>
      <c r="AC12" s="3">
        <v>5.0000000000000004E-6</v>
      </c>
    </row>
    <row r="13" spans="1:31" s="5" customFormat="1" x14ac:dyDescent="0.3">
      <c r="A13" s="4">
        <v>4</v>
      </c>
      <c r="B13" s="5">
        <v>8.23</v>
      </c>
      <c r="C13" s="5">
        <f t="shared" si="0"/>
        <v>-4</v>
      </c>
      <c r="D13" s="5">
        <v>4</v>
      </c>
      <c r="E13" s="5">
        <v>0</v>
      </c>
      <c r="F13" s="5">
        <v>0</v>
      </c>
      <c r="G13" s="5">
        <v>0</v>
      </c>
      <c r="H13" s="5" t="s">
        <v>29</v>
      </c>
      <c r="I13" s="5" t="s">
        <v>30</v>
      </c>
      <c r="J13" s="5" t="s">
        <v>31</v>
      </c>
      <c r="K13" s="5" t="s">
        <v>32</v>
      </c>
      <c r="L13" s="5" t="s">
        <v>33</v>
      </c>
      <c r="M13" s="5" t="s">
        <v>59</v>
      </c>
      <c r="N13" s="5" t="s">
        <v>35</v>
      </c>
      <c r="O13" s="5" t="s">
        <v>35</v>
      </c>
      <c r="P13" s="5" t="s">
        <v>35</v>
      </c>
      <c r="Q13" s="5" t="s">
        <v>36</v>
      </c>
      <c r="R13" s="5" t="s">
        <v>37</v>
      </c>
      <c r="S13" s="5" t="s">
        <v>38</v>
      </c>
      <c r="T13" s="5">
        <v>2</v>
      </c>
      <c r="U13" s="5">
        <v>32</v>
      </c>
      <c r="V13" s="5" t="s">
        <v>62</v>
      </c>
      <c r="W13" s="5" t="s">
        <v>63</v>
      </c>
      <c r="X13" s="5">
        <v>-1.3403E-2</v>
      </c>
      <c r="Y13" s="6">
        <v>6.0000000000000002E-6</v>
      </c>
      <c r="Z13" s="5">
        <v>5.7652000000000002E-2</v>
      </c>
      <c r="AA13" s="6">
        <v>6.0000000000000002E-6</v>
      </c>
      <c r="AB13" s="5">
        <v>-3.3777000000000001E-2</v>
      </c>
      <c r="AC13" s="6">
        <v>1.9999999999999999E-6</v>
      </c>
    </row>
    <row r="14" spans="1:31" s="5" customFormat="1" x14ac:dyDescent="0.3">
      <c r="A14" s="4">
        <v>4</v>
      </c>
      <c r="B14" s="5">
        <v>8.23</v>
      </c>
      <c r="C14" s="5">
        <f t="shared" si="0"/>
        <v>-2</v>
      </c>
      <c r="D14" s="5">
        <v>2</v>
      </c>
      <c r="E14" s="5">
        <v>0</v>
      </c>
      <c r="F14" s="5">
        <v>0</v>
      </c>
      <c r="G14" s="5">
        <v>0</v>
      </c>
      <c r="H14" s="5" t="s">
        <v>29</v>
      </c>
      <c r="I14" s="5" t="s">
        <v>30</v>
      </c>
      <c r="J14" s="5" t="s">
        <v>31</v>
      </c>
      <c r="K14" s="5" t="s">
        <v>32</v>
      </c>
      <c r="L14" s="5" t="s">
        <v>33</v>
      </c>
      <c r="M14" s="5" t="s">
        <v>59</v>
      </c>
      <c r="N14" s="5" t="s">
        <v>35</v>
      </c>
      <c r="O14" s="5" t="s">
        <v>35</v>
      </c>
      <c r="P14" s="5" t="s">
        <v>35</v>
      </c>
      <c r="Q14" s="5" t="s">
        <v>36</v>
      </c>
      <c r="R14" s="5" t="s">
        <v>37</v>
      </c>
      <c r="S14" s="5" t="s">
        <v>38</v>
      </c>
      <c r="T14" s="5">
        <v>2</v>
      </c>
      <c r="U14" s="5">
        <v>32</v>
      </c>
      <c r="V14" s="5" t="s">
        <v>64</v>
      </c>
      <c r="W14" s="5" t="s">
        <v>65</v>
      </c>
      <c r="X14" s="5">
        <v>-1.3774E-2</v>
      </c>
      <c r="Y14" s="6">
        <v>6.0000000000000002E-6</v>
      </c>
      <c r="Z14" s="5">
        <v>0.28371499999999999</v>
      </c>
      <c r="AA14" s="6">
        <v>3.4999999999999997E-5</v>
      </c>
      <c r="AB14" s="5">
        <v>-5.7833000000000002E-2</v>
      </c>
      <c r="AC14" s="6">
        <v>1.2999999999999999E-5</v>
      </c>
    </row>
    <row r="15" spans="1:31" s="5" customFormat="1" x14ac:dyDescent="0.3">
      <c r="A15" s="4">
        <v>4</v>
      </c>
      <c r="B15" s="5">
        <v>8.23</v>
      </c>
      <c r="C15" s="5">
        <f t="shared" si="0"/>
        <v>0</v>
      </c>
      <c r="D15" s="5">
        <v>0</v>
      </c>
      <c r="E15" s="5">
        <v>0</v>
      </c>
      <c r="F15" s="5">
        <v>0</v>
      </c>
      <c r="G15" s="5">
        <v>0</v>
      </c>
      <c r="H15" s="5" t="s">
        <v>29</v>
      </c>
      <c r="I15" s="5" t="s">
        <v>30</v>
      </c>
      <c r="J15" s="5" t="s">
        <v>31</v>
      </c>
      <c r="K15" s="5" t="s">
        <v>32</v>
      </c>
      <c r="L15" s="5" t="s">
        <v>33</v>
      </c>
      <c r="M15" s="5" t="s">
        <v>59</v>
      </c>
      <c r="N15" s="5" t="s">
        <v>35</v>
      </c>
      <c r="O15" s="5" t="s">
        <v>35</v>
      </c>
      <c r="P15" s="5" t="s">
        <v>35</v>
      </c>
      <c r="Q15" s="5" t="s">
        <v>36</v>
      </c>
      <c r="R15" s="5" t="s">
        <v>37</v>
      </c>
      <c r="S15" s="5" t="s">
        <v>38</v>
      </c>
      <c r="T15" s="5">
        <v>2</v>
      </c>
      <c r="U15" s="5">
        <v>32</v>
      </c>
      <c r="V15" s="5" t="s">
        <v>66</v>
      </c>
      <c r="W15" s="5" t="s">
        <v>67</v>
      </c>
      <c r="X15" s="5">
        <v>-1.5145E-2</v>
      </c>
      <c r="Y15" s="6">
        <v>1.1E-5</v>
      </c>
      <c r="Z15" s="5">
        <v>0.507193</v>
      </c>
      <c r="AA15" s="6">
        <v>5.3999999999999998E-5</v>
      </c>
      <c r="AB15" s="5">
        <v>-8.0427999999999999E-2</v>
      </c>
      <c r="AC15" s="6">
        <v>1.9000000000000001E-5</v>
      </c>
    </row>
    <row r="16" spans="1:31" s="5" customFormat="1" x14ac:dyDescent="0.3">
      <c r="A16" s="4">
        <v>4</v>
      </c>
      <c r="B16" s="5">
        <v>8.23</v>
      </c>
      <c r="C16" s="5">
        <f t="shared" si="0"/>
        <v>2</v>
      </c>
      <c r="D16" s="5">
        <v>-2</v>
      </c>
      <c r="E16" s="5">
        <v>0</v>
      </c>
      <c r="F16" s="5">
        <v>0</v>
      </c>
      <c r="G16" s="5">
        <v>0</v>
      </c>
      <c r="H16" s="5" t="s">
        <v>29</v>
      </c>
      <c r="I16" s="5" t="s">
        <v>30</v>
      </c>
      <c r="J16" s="5" t="s">
        <v>31</v>
      </c>
      <c r="K16" s="5" t="s">
        <v>32</v>
      </c>
      <c r="L16" s="5" t="s">
        <v>33</v>
      </c>
      <c r="M16" s="5" t="s">
        <v>59</v>
      </c>
      <c r="N16" s="5" t="s">
        <v>35</v>
      </c>
      <c r="O16" s="5" t="s">
        <v>35</v>
      </c>
      <c r="P16" s="5" t="s">
        <v>35</v>
      </c>
      <c r="Q16" s="5" t="s">
        <v>36</v>
      </c>
      <c r="R16" s="5" t="s">
        <v>37</v>
      </c>
      <c r="S16" s="5" t="s">
        <v>38</v>
      </c>
      <c r="T16" s="5">
        <v>2</v>
      </c>
      <c r="U16" s="5">
        <v>32</v>
      </c>
      <c r="V16" s="5" t="s">
        <v>68</v>
      </c>
      <c r="W16" s="5" t="s">
        <v>69</v>
      </c>
      <c r="X16" s="5">
        <v>-1.7343000000000001E-2</v>
      </c>
      <c r="Y16" s="6">
        <v>1.7E-5</v>
      </c>
      <c r="Z16" s="5">
        <v>0.72980800000000001</v>
      </c>
      <c r="AA16" s="6">
        <v>6.7000000000000002E-5</v>
      </c>
      <c r="AB16" s="5">
        <v>-0.10270899999999999</v>
      </c>
      <c r="AC16" s="6">
        <v>2.5000000000000001E-5</v>
      </c>
    </row>
    <row r="17" spans="1:31" s="5" customFormat="1" x14ac:dyDescent="0.3">
      <c r="A17" s="4">
        <v>4</v>
      </c>
      <c r="B17" s="5">
        <v>8.23</v>
      </c>
      <c r="C17" s="5">
        <f t="shared" si="0"/>
        <v>4</v>
      </c>
      <c r="D17" s="5">
        <v>-4</v>
      </c>
      <c r="E17" s="5">
        <v>0</v>
      </c>
      <c r="F17" s="5">
        <v>0</v>
      </c>
      <c r="G17" s="5">
        <v>0</v>
      </c>
      <c r="H17" s="5" t="s">
        <v>29</v>
      </c>
      <c r="I17" s="5" t="s">
        <v>30</v>
      </c>
      <c r="J17" s="5" t="s">
        <v>31</v>
      </c>
      <c r="K17" s="5" t="s">
        <v>32</v>
      </c>
      <c r="L17" s="5" t="s">
        <v>33</v>
      </c>
      <c r="M17" s="5" t="s">
        <v>59</v>
      </c>
      <c r="N17" s="5" t="s">
        <v>35</v>
      </c>
      <c r="O17" s="5" t="s">
        <v>35</v>
      </c>
      <c r="P17" s="5" t="s">
        <v>35</v>
      </c>
      <c r="Q17" s="5" t="s">
        <v>36</v>
      </c>
      <c r="R17" s="5" t="s">
        <v>37</v>
      </c>
      <c r="S17" s="5" t="s">
        <v>38</v>
      </c>
      <c r="T17" s="5">
        <v>2</v>
      </c>
      <c r="U17" s="5">
        <v>32</v>
      </c>
      <c r="V17" s="5" t="s">
        <v>70</v>
      </c>
      <c r="W17" s="5" t="s">
        <v>71</v>
      </c>
      <c r="X17" s="5">
        <v>-2.0434999999999998E-2</v>
      </c>
      <c r="Y17" s="6">
        <v>1.2E-5</v>
      </c>
      <c r="Z17" s="5">
        <v>0.94902399999999998</v>
      </c>
      <c r="AA17" s="6">
        <v>5.1999999999999997E-5</v>
      </c>
      <c r="AB17" s="5">
        <v>-0.124087</v>
      </c>
      <c r="AC17" s="6">
        <v>1.7E-5</v>
      </c>
    </row>
    <row r="18" spans="1:31" s="5" customFormat="1" x14ac:dyDescent="0.3">
      <c r="A18" s="4">
        <v>4</v>
      </c>
      <c r="B18" s="5">
        <v>8.23</v>
      </c>
      <c r="C18" s="5">
        <f t="shared" si="0"/>
        <v>6</v>
      </c>
      <c r="D18" s="5">
        <v>-6</v>
      </c>
      <c r="E18" s="5">
        <v>0</v>
      </c>
      <c r="F18" s="5">
        <v>0</v>
      </c>
      <c r="G18" s="5">
        <v>0</v>
      </c>
      <c r="H18" s="5" t="s">
        <v>29</v>
      </c>
      <c r="I18" s="5" t="s">
        <v>30</v>
      </c>
      <c r="J18" s="5" t="s">
        <v>31</v>
      </c>
      <c r="K18" s="5" t="s">
        <v>32</v>
      </c>
      <c r="L18" s="5" t="s">
        <v>33</v>
      </c>
      <c r="M18" s="5" t="s">
        <v>59</v>
      </c>
      <c r="N18" s="5" t="s">
        <v>35</v>
      </c>
      <c r="O18" s="5" t="s">
        <v>35</v>
      </c>
      <c r="P18" s="5" t="s">
        <v>35</v>
      </c>
      <c r="Q18" s="5" t="s">
        <v>36</v>
      </c>
      <c r="R18" s="5" t="s">
        <v>37</v>
      </c>
      <c r="S18" s="5" t="s">
        <v>38</v>
      </c>
      <c r="T18" s="5">
        <v>2</v>
      </c>
      <c r="U18" s="5">
        <v>32</v>
      </c>
      <c r="V18" s="5" t="s">
        <v>72</v>
      </c>
      <c r="W18" s="5" t="s">
        <v>73</v>
      </c>
      <c r="X18" s="5">
        <v>-2.4556000000000001E-2</v>
      </c>
      <c r="Y18" s="6">
        <v>2.1999999999999999E-5</v>
      </c>
      <c r="Z18" s="5">
        <v>1.1615329999999999</v>
      </c>
      <c r="AA18" s="6">
        <v>2.1999999999999999E-5</v>
      </c>
      <c r="AB18" s="5">
        <v>-0.14400099999999999</v>
      </c>
      <c r="AC18" s="6">
        <v>1.0000000000000001E-5</v>
      </c>
    </row>
    <row r="19" spans="1:31" s="5" customFormat="1" x14ac:dyDescent="0.3">
      <c r="A19" s="4">
        <v>4</v>
      </c>
      <c r="B19" s="5">
        <v>8.23</v>
      </c>
      <c r="C19" s="5">
        <f t="shared" si="0"/>
        <v>8</v>
      </c>
      <c r="D19" s="5">
        <v>-8</v>
      </c>
      <c r="E19" s="5">
        <v>0</v>
      </c>
      <c r="F19" s="5">
        <v>0</v>
      </c>
      <c r="G19" s="5">
        <v>0</v>
      </c>
      <c r="H19" s="5" t="s">
        <v>29</v>
      </c>
      <c r="I19" s="5" t="s">
        <v>30</v>
      </c>
      <c r="J19" s="5" t="s">
        <v>31</v>
      </c>
      <c r="K19" s="5" t="s">
        <v>32</v>
      </c>
      <c r="L19" s="5" t="s">
        <v>33</v>
      </c>
      <c r="M19" s="5" t="s">
        <v>59</v>
      </c>
      <c r="N19" s="5" t="s">
        <v>35</v>
      </c>
      <c r="O19" s="5" t="s">
        <v>35</v>
      </c>
      <c r="P19" s="5" t="s">
        <v>35</v>
      </c>
      <c r="Q19" s="5" t="s">
        <v>36</v>
      </c>
      <c r="R19" s="5" t="s">
        <v>37</v>
      </c>
      <c r="S19" s="5" t="s">
        <v>38</v>
      </c>
      <c r="T19" s="5">
        <v>2</v>
      </c>
      <c r="U19" s="5">
        <v>32</v>
      </c>
      <c r="V19" s="5" t="s">
        <v>74</v>
      </c>
      <c r="W19" s="5" t="s">
        <v>75</v>
      </c>
      <c r="X19" s="5">
        <v>-2.9877999999999998E-2</v>
      </c>
      <c r="Y19" s="6">
        <v>1.2E-5</v>
      </c>
      <c r="Z19" s="5">
        <v>1.369939</v>
      </c>
      <c r="AA19" s="6">
        <v>3.4999999999999997E-5</v>
      </c>
      <c r="AB19" s="5">
        <v>-0.16394900000000001</v>
      </c>
      <c r="AC19" s="6">
        <v>2.0000000000000002E-5</v>
      </c>
    </row>
    <row r="20" spans="1:31" s="5" customFormat="1" x14ac:dyDescent="0.3">
      <c r="A20" s="4">
        <v>4</v>
      </c>
      <c r="B20" s="5">
        <v>8.23</v>
      </c>
      <c r="C20" s="5">
        <f t="shared" si="0"/>
        <v>10</v>
      </c>
      <c r="D20" s="5">
        <v>-10</v>
      </c>
      <c r="E20" s="5">
        <v>0</v>
      </c>
      <c r="F20" s="5">
        <v>0</v>
      </c>
      <c r="G20" s="5">
        <v>0</v>
      </c>
      <c r="H20" s="5" t="s">
        <v>29</v>
      </c>
      <c r="I20" s="5" t="s">
        <v>30</v>
      </c>
      <c r="J20" s="5" t="s">
        <v>31</v>
      </c>
      <c r="K20" s="5" t="s">
        <v>32</v>
      </c>
      <c r="L20" s="5" t="s">
        <v>33</v>
      </c>
      <c r="M20" s="5" t="s">
        <v>59</v>
      </c>
      <c r="N20" s="5" t="s">
        <v>35</v>
      </c>
      <c r="O20" s="5" t="s">
        <v>35</v>
      </c>
      <c r="P20" s="5" t="s">
        <v>35</v>
      </c>
      <c r="Q20" s="5" t="s">
        <v>36</v>
      </c>
      <c r="R20" s="5" t="s">
        <v>37</v>
      </c>
      <c r="S20" s="5" t="s">
        <v>38</v>
      </c>
      <c r="T20" s="5">
        <v>2</v>
      </c>
      <c r="U20" s="5">
        <v>32</v>
      </c>
      <c r="V20" s="5" t="s">
        <v>76</v>
      </c>
      <c r="W20" s="5" t="s">
        <v>77</v>
      </c>
      <c r="X20" s="5">
        <v>-3.7186999999999998E-2</v>
      </c>
      <c r="Y20" s="6">
        <v>6.0000000000000002E-5</v>
      </c>
      <c r="Z20" s="5">
        <v>1.569059</v>
      </c>
      <c r="AA20" s="5">
        <v>1E-4</v>
      </c>
      <c r="AB20" s="5">
        <v>-0.183453</v>
      </c>
      <c r="AC20" s="6">
        <v>7.8999999999999996E-5</v>
      </c>
    </row>
    <row r="21" spans="1:31" s="5" customFormat="1" x14ac:dyDescent="0.3">
      <c r="A21" s="4">
        <v>4</v>
      </c>
      <c r="B21" s="5">
        <v>8.23</v>
      </c>
      <c r="C21" s="5">
        <f t="shared" si="0"/>
        <v>12</v>
      </c>
      <c r="D21" s="5">
        <v>-12</v>
      </c>
      <c r="E21" s="5">
        <v>0</v>
      </c>
      <c r="F21" s="5">
        <v>0</v>
      </c>
      <c r="G21" s="5">
        <v>0</v>
      </c>
      <c r="H21" s="5" t="s">
        <v>29</v>
      </c>
      <c r="I21" s="5" t="s">
        <v>30</v>
      </c>
      <c r="J21" s="5" t="s">
        <v>31</v>
      </c>
      <c r="K21" s="5" t="s">
        <v>32</v>
      </c>
      <c r="L21" s="5" t="s">
        <v>33</v>
      </c>
      <c r="M21" s="5" t="s">
        <v>59</v>
      </c>
      <c r="N21" s="5" t="s">
        <v>35</v>
      </c>
      <c r="O21" s="5" t="s">
        <v>35</v>
      </c>
      <c r="P21" s="5" t="s">
        <v>35</v>
      </c>
      <c r="Q21" s="5" t="s">
        <v>36</v>
      </c>
      <c r="R21" s="5" t="s">
        <v>37</v>
      </c>
      <c r="S21" s="5" t="s">
        <v>38</v>
      </c>
      <c r="T21" s="5">
        <v>2</v>
      </c>
      <c r="U21" s="5">
        <v>32</v>
      </c>
      <c r="V21" s="5" t="s">
        <v>78</v>
      </c>
      <c r="W21" s="5" t="s">
        <v>79</v>
      </c>
      <c r="X21" s="5">
        <v>-4.8575E-2</v>
      </c>
      <c r="Y21" s="6">
        <v>7.2999999999999999E-5</v>
      </c>
      <c r="Z21" s="5">
        <v>1.7493259999999999</v>
      </c>
      <c r="AA21" s="5">
        <v>2.0799999999999999E-4</v>
      </c>
      <c r="AB21" s="5">
        <v>-0.20289499999999999</v>
      </c>
      <c r="AC21" s="5">
        <v>1.16E-4</v>
      </c>
      <c r="AE21" s="5" t="s">
        <v>195</v>
      </c>
    </row>
    <row r="22" spans="1:31" s="8" customFormat="1" x14ac:dyDescent="0.3">
      <c r="A22" s="7">
        <v>4</v>
      </c>
      <c r="B22" s="8">
        <v>8.23</v>
      </c>
      <c r="C22" s="8">
        <f t="shared" si="0"/>
        <v>14</v>
      </c>
      <c r="D22" s="8">
        <v>-14</v>
      </c>
      <c r="E22" s="8">
        <v>0</v>
      </c>
      <c r="F22" s="8">
        <v>0</v>
      </c>
      <c r="G22" s="8">
        <v>0</v>
      </c>
      <c r="H22" s="8" t="s">
        <v>29</v>
      </c>
      <c r="I22" s="8" t="s">
        <v>30</v>
      </c>
      <c r="J22" s="8" t="s">
        <v>31</v>
      </c>
      <c r="K22" s="8" t="s">
        <v>32</v>
      </c>
      <c r="L22" s="8" t="s">
        <v>33</v>
      </c>
      <c r="M22" s="8" t="s">
        <v>59</v>
      </c>
      <c r="N22" s="8" t="s">
        <v>35</v>
      </c>
      <c r="O22" s="8" t="s">
        <v>35</v>
      </c>
      <c r="P22" s="8" t="s">
        <v>35</v>
      </c>
      <c r="Q22" s="8" t="s">
        <v>36</v>
      </c>
      <c r="R22" s="8" t="s">
        <v>37</v>
      </c>
      <c r="S22" s="8" t="s">
        <v>38</v>
      </c>
      <c r="T22" s="8">
        <v>2</v>
      </c>
      <c r="U22" s="8">
        <v>32</v>
      </c>
      <c r="V22" s="8" t="s">
        <v>80</v>
      </c>
      <c r="W22" s="8" t="s">
        <v>81</v>
      </c>
      <c r="X22" s="8">
        <v>-7.9230999999999996E-2</v>
      </c>
      <c r="Y22" s="9">
        <v>6.9999999999999994E-5</v>
      </c>
      <c r="Z22" s="8">
        <v>1.8422320000000001</v>
      </c>
      <c r="AA22" s="8">
        <v>2.0699999999999999E-4</v>
      </c>
      <c r="AB22" s="8">
        <v>-0.22589899999999999</v>
      </c>
      <c r="AC22" s="9">
        <v>8.2000000000000001E-5</v>
      </c>
      <c r="AE22" s="8">
        <f>MAX(Z13:Z22)</f>
        <v>1.8422320000000001</v>
      </c>
    </row>
    <row r="23" spans="1:31" s="2" customFormat="1" x14ac:dyDescent="0.3">
      <c r="A23" s="1">
        <v>4</v>
      </c>
      <c r="B23" s="2">
        <v>8.23</v>
      </c>
      <c r="C23" s="2">
        <f t="shared" si="0"/>
        <v>-6</v>
      </c>
      <c r="D23" s="2">
        <v>6</v>
      </c>
      <c r="E23" s="2">
        <v>0</v>
      </c>
      <c r="F23" s="2">
        <v>0</v>
      </c>
      <c r="G23" s="2">
        <v>0</v>
      </c>
      <c r="H23" s="2" t="s">
        <v>29</v>
      </c>
      <c r="I23" s="2" t="s">
        <v>30</v>
      </c>
      <c r="J23" s="2" t="s">
        <v>31</v>
      </c>
      <c r="K23" s="2" t="s">
        <v>32</v>
      </c>
      <c r="L23" s="2" t="s">
        <v>33</v>
      </c>
      <c r="M23" s="2" t="s">
        <v>82</v>
      </c>
      <c r="N23" s="2" t="s">
        <v>35</v>
      </c>
      <c r="O23" s="2" t="s">
        <v>35</v>
      </c>
      <c r="P23" s="2" t="s">
        <v>35</v>
      </c>
      <c r="Q23" s="2" t="s">
        <v>36</v>
      </c>
      <c r="R23" s="2" t="s">
        <v>37</v>
      </c>
      <c r="S23" s="2" t="s">
        <v>38</v>
      </c>
      <c r="T23" s="2">
        <v>2</v>
      </c>
      <c r="U23" s="2">
        <v>32</v>
      </c>
      <c r="V23" s="2" t="s">
        <v>83</v>
      </c>
      <c r="W23" s="2" t="s">
        <v>84</v>
      </c>
      <c r="X23" s="2">
        <v>-1.3816E-2</v>
      </c>
      <c r="Y23" s="3">
        <v>6.9999999999999999E-6</v>
      </c>
      <c r="Z23" s="2">
        <v>0.26637</v>
      </c>
      <c r="AA23" s="3">
        <v>1.4E-5</v>
      </c>
      <c r="AB23" s="2">
        <v>-0.103301</v>
      </c>
      <c r="AC23" s="3">
        <v>5.0000000000000004E-6</v>
      </c>
    </row>
    <row r="24" spans="1:31" s="5" customFormat="1" x14ac:dyDescent="0.3">
      <c r="A24" s="4">
        <v>4</v>
      </c>
      <c r="B24" s="5">
        <v>8.23</v>
      </c>
      <c r="C24" s="5">
        <f t="shared" si="0"/>
        <v>-4</v>
      </c>
      <c r="D24" s="5">
        <v>4</v>
      </c>
      <c r="E24" s="5">
        <v>0</v>
      </c>
      <c r="F24" s="5">
        <v>0</v>
      </c>
      <c r="G24" s="5">
        <v>0</v>
      </c>
      <c r="H24" s="5" t="s">
        <v>29</v>
      </c>
      <c r="I24" s="5" t="s">
        <v>30</v>
      </c>
      <c r="J24" s="5" t="s">
        <v>31</v>
      </c>
      <c r="K24" s="5" t="s">
        <v>32</v>
      </c>
      <c r="L24" s="5" t="s">
        <v>33</v>
      </c>
      <c r="M24" s="5" t="s">
        <v>82</v>
      </c>
      <c r="N24" s="5" t="s">
        <v>35</v>
      </c>
      <c r="O24" s="5" t="s">
        <v>35</v>
      </c>
      <c r="P24" s="5" t="s">
        <v>35</v>
      </c>
      <c r="Q24" s="5" t="s">
        <v>36</v>
      </c>
      <c r="R24" s="5" t="s">
        <v>37</v>
      </c>
      <c r="S24" s="5" t="s">
        <v>38</v>
      </c>
      <c r="T24" s="5">
        <v>2</v>
      </c>
      <c r="U24" s="5">
        <v>32</v>
      </c>
      <c r="V24" s="5" t="s">
        <v>85</v>
      </c>
      <c r="W24" s="5" t="s">
        <v>86</v>
      </c>
      <c r="X24" s="5">
        <v>-1.4586E-2</v>
      </c>
      <c r="Y24" s="6">
        <v>1.2E-5</v>
      </c>
      <c r="Z24" s="5">
        <v>0.49187599999999998</v>
      </c>
      <c r="AA24" s="6">
        <v>2.1999999999999999E-5</v>
      </c>
      <c r="AB24" s="5">
        <v>-0.126055</v>
      </c>
      <c r="AC24" s="6">
        <v>1.0000000000000001E-5</v>
      </c>
    </row>
    <row r="25" spans="1:31" s="5" customFormat="1" x14ac:dyDescent="0.3">
      <c r="A25" s="4">
        <v>4</v>
      </c>
      <c r="B25" s="5">
        <v>8.23</v>
      </c>
      <c r="C25" s="5">
        <f t="shared" si="0"/>
        <v>-2</v>
      </c>
      <c r="D25" s="5">
        <v>2</v>
      </c>
      <c r="E25" s="5">
        <v>0</v>
      </c>
      <c r="F25" s="5">
        <v>0</v>
      </c>
      <c r="G25" s="5">
        <v>0</v>
      </c>
      <c r="H25" s="5" t="s">
        <v>29</v>
      </c>
      <c r="I25" s="5" t="s">
        <v>30</v>
      </c>
      <c r="J25" s="5" t="s">
        <v>31</v>
      </c>
      <c r="K25" s="5" t="s">
        <v>32</v>
      </c>
      <c r="L25" s="5" t="s">
        <v>33</v>
      </c>
      <c r="M25" s="5" t="s">
        <v>82</v>
      </c>
      <c r="N25" s="5" t="s">
        <v>35</v>
      </c>
      <c r="O25" s="5" t="s">
        <v>35</v>
      </c>
      <c r="P25" s="5" t="s">
        <v>35</v>
      </c>
      <c r="Q25" s="5" t="s">
        <v>36</v>
      </c>
      <c r="R25" s="5" t="s">
        <v>37</v>
      </c>
      <c r="S25" s="5" t="s">
        <v>38</v>
      </c>
      <c r="T25" s="5">
        <v>2</v>
      </c>
      <c r="U25" s="5">
        <v>32</v>
      </c>
      <c r="V25" s="5" t="s">
        <v>87</v>
      </c>
      <c r="W25" s="5" t="s">
        <v>88</v>
      </c>
      <c r="X25" s="5">
        <v>-1.6372999999999999E-2</v>
      </c>
      <c r="Y25" s="6">
        <v>1.5999999999999999E-5</v>
      </c>
      <c r="Z25" s="5">
        <v>0.717615</v>
      </c>
      <c r="AA25" s="6">
        <v>4.8000000000000001E-5</v>
      </c>
      <c r="AB25" s="5">
        <v>-0.14856800000000001</v>
      </c>
      <c r="AC25" s="6">
        <v>1.8E-5</v>
      </c>
    </row>
    <row r="26" spans="1:31" s="5" customFormat="1" x14ac:dyDescent="0.3">
      <c r="A26" s="4">
        <v>4</v>
      </c>
      <c r="B26" s="5">
        <v>8.23</v>
      </c>
      <c r="C26" s="5">
        <f t="shared" si="0"/>
        <v>0</v>
      </c>
      <c r="D26" s="5">
        <v>0</v>
      </c>
      <c r="E26" s="5">
        <v>0</v>
      </c>
      <c r="F26" s="5">
        <v>0</v>
      </c>
      <c r="G26" s="5">
        <v>0</v>
      </c>
      <c r="H26" s="5" t="s">
        <v>29</v>
      </c>
      <c r="I26" s="5" t="s">
        <v>30</v>
      </c>
      <c r="J26" s="5" t="s">
        <v>31</v>
      </c>
      <c r="K26" s="5" t="s">
        <v>32</v>
      </c>
      <c r="L26" s="5" t="s">
        <v>33</v>
      </c>
      <c r="M26" s="5" t="s">
        <v>82</v>
      </c>
      <c r="N26" s="5" t="s">
        <v>35</v>
      </c>
      <c r="O26" s="5" t="s">
        <v>35</v>
      </c>
      <c r="P26" s="5" t="s">
        <v>35</v>
      </c>
      <c r="Q26" s="5" t="s">
        <v>36</v>
      </c>
      <c r="R26" s="5" t="s">
        <v>37</v>
      </c>
      <c r="S26" s="5" t="s">
        <v>38</v>
      </c>
      <c r="T26" s="5">
        <v>2</v>
      </c>
      <c r="U26" s="5">
        <v>32</v>
      </c>
      <c r="V26" s="5" t="s">
        <v>89</v>
      </c>
      <c r="W26" s="5" t="s">
        <v>90</v>
      </c>
      <c r="X26" s="5">
        <v>-1.8862E-2</v>
      </c>
      <c r="Y26" s="6">
        <v>2.8E-5</v>
      </c>
      <c r="Z26" s="5">
        <v>0.94014699999999995</v>
      </c>
      <c r="AA26" s="5">
        <v>1.0399999999999999E-4</v>
      </c>
      <c r="AB26" s="5">
        <v>-0.17005400000000001</v>
      </c>
      <c r="AC26" s="6">
        <v>3.4999999999999997E-5</v>
      </c>
    </row>
    <row r="27" spans="1:31" s="5" customFormat="1" x14ac:dyDescent="0.3">
      <c r="A27" s="4">
        <v>4</v>
      </c>
      <c r="B27" s="5">
        <v>8.23</v>
      </c>
      <c r="C27" s="5">
        <f t="shared" si="0"/>
        <v>2</v>
      </c>
      <c r="D27" s="5">
        <v>-2</v>
      </c>
      <c r="E27" s="5">
        <v>0</v>
      </c>
      <c r="F27" s="5">
        <v>0</v>
      </c>
      <c r="G27" s="5">
        <v>0</v>
      </c>
      <c r="H27" s="5" t="s">
        <v>29</v>
      </c>
      <c r="I27" s="5" t="s">
        <v>30</v>
      </c>
      <c r="J27" s="5" t="s">
        <v>31</v>
      </c>
      <c r="K27" s="5" t="s">
        <v>32</v>
      </c>
      <c r="L27" s="5" t="s">
        <v>33</v>
      </c>
      <c r="M27" s="5" t="s">
        <v>82</v>
      </c>
      <c r="N27" s="5" t="s">
        <v>35</v>
      </c>
      <c r="O27" s="5" t="s">
        <v>35</v>
      </c>
      <c r="P27" s="5" t="s">
        <v>35</v>
      </c>
      <c r="Q27" s="5" t="s">
        <v>36</v>
      </c>
      <c r="R27" s="5" t="s">
        <v>37</v>
      </c>
      <c r="S27" s="5" t="s">
        <v>38</v>
      </c>
      <c r="T27" s="5">
        <v>2</v>
      </c>
      <c r="U27" s="5">
        <v>32</v>
      </c>
      <c r="V27" s="5" t="s">
        <v>91</v>
      </c>
      <c r="W27" s="5" t="s">
        <v>92</v>
      </c>
      <c r="X27" s="5">
        <v>-2.2186999999999998E-2</v>
      </c>
      <c r="Y27" s="6">
        <v>3.3000000000000003E-5</v>
      </c>
      <c r="Z27" s="5">
        <v>1.1578809999999999</v>
      </c>
      <c r="AA27" s="6">
        <v>6.0999999999999999E-5</v>
      </c>
      <c r="AB27" s="5">
        <v>-0.190136</v>
      </c>
      <c r="AC27" s="6">
        <v>2.0000000000000002E-5</v>
      </c>
    </row>
    <row r="28" spans="1:31" s="5" customFormat="1" x14ac:dyDescent="0.3">
      <c r="A28" s="4">
        <v>4</v>
      </c>
      <c r="B28" s="5">
        <v>8.23</v>
      </c>
      <c r="C28" s="5">
        <f t="shared" si="0"/>
        <v>4</v>
      </c>
      <c r="D28" s="5">
        <v>-4</v>
      </c>
      <c r="E28" s="5">
        <v>0</v>
      </c>
      <c r="F28" s="5">
        <v>0</v>
      </c>
      <c r="G28" s="5">
        <v>0</v>
      </c>
      <c r="H28" s="5" t="s">
        <v>29</v>
      </c>
      <c r="I28" s="5" t="s">
        <v>30</v>
      </c>
      <c r="J28" s="5" t="s">
        <v>31</v>
      </c>
      <c r="K28" s="5" t="s">
        <v>32</v>
      </c>
      <c r="L28" s="5" t="s">
        <v>33</v>
      </c>
      <c r="M28" s="5" t="s">
        <v>82</v>
      </c>
      <c r="N28" s="5" t="s">
        <v>35</v>
      </c>
      <c r="O28" s="5" t="s">
        <v>35</v>
      </c>
      <c r="P28" s="5" t="s">
        <v>35</v>
      </c>
      <c r="Q28" s="5" t="s">
        <v>36</v>
      </c>
      <c r="R28" s="5" t="s">
        <v>37</v>
      </c>
      <c r="S28" s="5" t="s">
        <v>38</v>
      </c>
      <c r="T28" s="5">
        <v>2</v>
      </c>
      <c r="U28" s="5">
        <v>32</v>
      </c>
      <c r="V28" s="5" t="s">
        <v>93</v>
      </c>
      <c r="W28" s="5" t="s">
        <v>94</v>
      </c>
      <c r="X28" s="5">
        <v>-2.6446000000000001E-2</v>
      </c>
      <c r="Y28" s="6">
        <v>2.1999999999999999E-5</v>
      </c>
      <c r="Z28" s="5">
        <v>1.372142</v>
      </c>
      <c r="AA28" s="6">
        <v>6.2000000000000003E-5</v>
      </c>
      <c r="AB28" s="5">
        <v>-0.20957400000000001</v>
      </c>
      <c r="AC28" s="6">
        <v>3.3000000000000003E-5</v>
      </c>
    </row>
    <row r="29" spans="1:31" s="5" customFormat="1" x14ac:dyDescent="0.3">
      <c r="A29" s="4">
        <v>4</v>
      </c>
      <c r="B29" s="5">
        <v>8.23</v>
      </c>
      <c r="C29" s="5">
        <f t="shared" si="0"/>
        <v>6</v>
      </c>
      <c r="D29" s="5">
        <v>-6</v>
      </c>
      <c r="E29" s="5">
        <v>0</v>
      </c>
      <c r="F29" s="5">
        <v>0</v>
      </c>
      <c r="G29" s="5">
        <v>0</v>
      </c>
      <c r="H29" s="5" t="s">
        <v>29</v>
      </c>
      <c r="I29" s="5" t="s">
        <v>30</v>
      </c>
      <c r="J29" s="5" t="s">
        <v>31</v>
      </c>
      <c r="K29" s="5" t="s">
        <v>32</v>
      </c>
      <c r="L29" s="5" t="s">
        <v>33</v>
      </c>
      <c r="M29" s="5" t="s">
        <v>82</v>
      </c>
      <c r="N29" s="5" t="s">
        <v>35</v>
      </c>
      <c r="O29" s="5" t="s">
        <v>35</v>
      </c>
      <c r="P29" s="5" t="s">
        <v>35</v>
      </c>
      <c r="Q29" s="5" t="s">
        <v>36</v>
      </c>
      <c r="R29" s="5" t="s">
        <v>37</v>
      </c>
      <c r="S29" s="5" t="s">
        <v>38</v>
      </c>
      <c r="T29" s="5">
        <v>2</v>
      </c>
      <c r="U29" s="5">
        <v>32</v>
      </c>
      <c r="V29" s="5" t="s">
        <v>95</v>
      </c>
      <c r="W29" s="5" t="s">
        <v>96</v>
      </c>
      <c r="X29" s="5">
        <v>-3.1559999999999998E-2</v>
      </c>
      <c r="Y29" s="5">
        <v>1.3300000000000001E-4</v>
      </c>
      <c r="Z29" s="5">
        <v>1.576886</v>
      </c>
      <c r="AA29" s="5">
        <v>5.3600000000000002E-4</v>
      </c>
      <c r="AB29" s="5">
        <v>-0.22686100000000001</v>
      </c>
      <c r="AC29" s="5">
        <v>3.0800000000000001E-4</v>
      </c>
    </row>
    <row r="30" spans="1:31" s="5" customFormat="1" x14ac:dyDescent="0.3">
      <c r="A30" s="4">
        <v>4</v>
      </c>
      <c r="B30" s="5">
        <v>8.23</v>
      </c>
      <c r="C30" s="5">
        <f t="shared" si="0"/>
        <v>8</v>
      </c>
      <c r="D30" s="5">
        <v>-8</v>
      </c>
      <c r="E30" s="5">
        <v>0</v>
      </c>
      <c r="F30" s="5">
        <v>0</v>
      </c>
      <c r="G30" s="5">
        <v>0</v>
      </c>
      <c r="H30" s="5" t="s">
        <v>29</v>
      </c>
      <c r="I30" s="5" t="s">
        <v>30</v>
      </c>
      <c r="J30" s="5" t="s">
        <v>31</v>
      </c>
      <c r="K30" s="5" t="s">
        <v>32</v>
      </c>
      <c r="L30" s="5" t="s">
        <v>33</v>
      </c>
      <c r="M30" s="5" t="s">
        <v>82</v>
      </c>
      <c r="N30" s="5" t="s">
        <v>35</v>
      </c>
      <c r="O30" s="5" t="s">
        <v>35</v>
      </c>
      <c r="P30" s="5" t="s">
        <v>35</v>
      </c>
      <c r="Q30" s="5" t="s">
        <v>36</v>
      </c>
      <c r="R30" s="5" t="s">
        <v>37</v>
      </c>
      <c r="S30" s="5" t="s">
        <v>38</v>
      </c>
      <c r="T30" s="5">
        <v>2</v>
      </c>
      <c r="U30" s="5">
        <v>32</v>
      </c>
      <c r="V30" s="5" t="s">
        <v>97</v>
      </c>
      <c r="W30" s="5" t="s">
        <v>98</v>
      </c>
      <c r="X30" s="5">
        <v>-3.8218000000000002E-2</v>
      </c>
      <c r="Y30" s="5">
        <v>1.47E-4</v>
      </c>
      <c r="Z30" s="5">
        <v>1.7735590000000001</v>
      </c>
      <c r="AA30" s="5">
        <v>6.2200000000000005E-4</v>
      </c>
      <c r="AB30" s="5">
        <v>-0.24324399999999999</v>
      </c>
      <c r="AC30" s="5">
        <v>3.3700000000000001E-4</v>
      </c>
    </row>
    <row r="31" spans="1:31" s="5" customFormat="1" x14ac:dyDescent="0.3">
      <c r="A31" s="4">
        <v>4</v>
      </c>
      <c r="B31" s="5">
        <v>8.23</v>
      </c>
      <c r="C31" s="5">
        <f t="shared" si="0"/>
        <v>10</v>
      </c>
      <c r="D31" s="5">
        <v>-10</v>
      </c>
      <c r="E31" s="5">
        <v>0</v>
      </c>
      <c r="F31" s="5">
        <v>0</v>
      </c>
      <c r="G31" s="5">
        <v>0</v>
      </c>
      <c r="H31" s="5" t="s">
        <v>29</v>
      </c>
      <c r="I31" s="5" t="s">
        <v>30</v>
      </c>
      <c r="J31" s="5" t="s">
        <v>31</v>
      </c>
      <c r="K31" s="5" t="s">
        <v>32</v>
      </c>
      <c r="L31" s="5" t="s">
        <v>33</v>
      </c>
      <c r="M31" s="5" t="s">
        <v>82</v>
      </c>
      <c r="N31" s="5" t="s">
        <v>35</v>
      </c>
      <c r="O31" s="5" t="s">
        <v>35</v>
      </c>
      <c r="P31" s="5" t="s">
        <v>35</v>
      </c>
      <c r="Q31" s="5" t="s">
        <v>36</v>
      </c>
      <c r="R31" s="5" t="s">
        <v>37</v>
      </c>
      <c r="S31" s="5" t="s">
        <v>38</v>
      </c>
      <c r="T31" s="5">
        <v>2</v>
      </c>
      <c r="U31" s="5">
        <v>32</v>
      </c>
      <c r="V31" s="5" t="s">
        <v>99</v>
      </c>
      <c r="W31" s="5" t="s">
        <v>100</v>
      </c>
      <c r="X31" s="5">
        <v>-4.7065000000000003E-2</v>
      </c>
      <c r="Y31" s="6">
        <v>4.1999999999999998E-5</v>
      </c>
      <c r="Z31" s="5">
        <v>1.9570669999999999</v>
      </c>
      <c r="AA31" s="6">
        <v>7.2000000000000002E-5</v>
      </c>
      <c r="AB31" s="5">
        <v>-0.25863000000000003</v>
      </c>
      <c r="AC31" s="6">
        <v>3.0000000000000001E-5</v>
      </c>
    </row>
    <row r="32" spans="1:31" s="5" customFormat="1" x14ac:dyDescent="0.3">
      <c r="A32" s="4">
        <v>4</v>
      </c>
      <c r="B32" s="5">
        <v>8.23</v>
      </c>
      <c r="C32" s="5">
        <f t="shared" si="0"/>
        <v>12</v>
      </c>
      <c r="D32" s="5">
        <v>-12</v>
      </c>
      <c r="E32" s="5">
        <v>0</v>
      </c>
      <c r="F32" s="5">
        <v>0</v>
      </c>
      <c r="G32" s="5">
        <v>0</v>
      </c>
      <c r="H32" s="5" t="s">
        <v>29</v>
      </c>
      <c r="I32" s="5" t="s">
        <v>30</v>
      </c>
      <c r="J32" s="5" t="s">
        <v>31</v>
      </c>
      <c r="K32" s="5" t="s">
        <v>32</v>
      </c>
      <c r="L32" s="5" t="s">
        <v>33</v>
      </c>
      <c r="M32" s="5" t="s">
        <v>82</v>
      </c>
      <c r="N32" s="5" t="s">
        <v>35</v>
      </c>
      <c r="O32" s="5" t="s">
        <v>35</v>
      </c>
      <c r="P32" s="5" t="s">
        <v>35</v>
      </c>
      <c r="Q32" s="5" t="s">
        <v>36</v>
      </c>
      <c r="R32" s="5" t="s">
        <v>37</v>
      </c>
      <c r="S32" s="5" t="s">
        <v>38</v>
      </c>
      <c r="T32" s="5">
        <v>2</v>
      </c>
      <c r="U32" s="5">
        <v>32</v>
      </c>
      <c r="V32" s="5" t="s">
        <v>101</v>
      </c>
      <c r="W32" s="5" t="s">
        <v>102</v>
      </c>
      <c r="X32" s="5">
        <v>-6.0449999999999997E-2</v>
      </c>
      <c r="Y32" s="5">
        <v>1.93E-4</v>
      </c>
      <c r="Z32" s="5">
        <v>2.1099640000000002</v>
      </c>
      <c r="AA32" s="5">
        <v>4.73E-4</v>
      </c>
      <c r="AB32" s="5">
        <v>-0.27140199999999998</v>
      </c>
      <c r="AC32" s="5">
        <v>2.9500000000000001E-4</v>
      </c>
      <c r="AE32" s="5" t="s">
        <v>195</v>
      </c>
    </row>
    <row r="33" spans="1:31" s="8" customFormat="1" x14ac:dyDescent="0.3">
      <c r="A33" s="7">
        <v>4</v>
      </c>
      <c r="B33" s="8">
        <v>8.23</v>
      </c>
      <c r="C33" s="8">
        <f t="shared" si="0"/>
        <v>14</v>
      </c>
      <c r="D33" s="8">
        <v>-14</v>
      </c>
      <c r="E33" s="8">
        <v>0</v>
      </c>
      <c r="F33" s="8">
        <v>0</v>
      </c>
      <c r="G33" s="8">
        <v>0</v>
      </c>
      <c r="H33" s="8" t="s">
        <v>29</v>
      </c>
      <c r="I33" s="8" t="s">
        <v>30</v>
      </c>
      <c r="J33" s="8" t="s">
        <v>31</v>
      </c>
      <c r="K33" s="8" t="s">
        <v>32</v>
      </c>
      <c r="L33" s="8" t="s">
        <v>33</v>
      </c>
      <c r="M33" s="8" t="s">
        <v>82</v>
      </c>
      <c r="N33" s="8" t="s">
        <v>35</v>
      </c>
      <c r="O33" s="8" t="s">
        <v>35</v>
      </c>
      <c r="P33" s="8" t="s">
        <v>35</v>
      </c>
      <c r="Q33" s="8" t="s">
        <v>36</v>
      </c>
      <c r="R33" s="8" t="s">
        <v>37</v>
      </c>
      <c r="S33" s="8" t="s">
        <v>38</v>
      </c>
      <c r="T33" s="8">
        <v>2</v>
      </c>
      <c r="U33" s="8">
        <v>32</v>
      </c>
      <c r="V33" s="8" t="s">
        <v>103</v>
      </c>
      <c r="W33" s="8" t="s">
        <v>104</v>
      </c>
      <c r="X33" s="8">
        <v>-0.112316</v>
      </c>
      <c r="Y33" s="8">
        <v>7.2480000000000001E-3</v>
      </c>
      <c r="Z33" s="8">
        <v>2.0578690000000002</v>
      </c>
      <c r="AA33" s="8">
        <v>2.3476E-2</v>
      </c>
      <c r="AB33" s="8">
        <v>-0.28328900000000001</v>
      </c>
      <c r="AC33" s="8">
        <v>6.3509999999999999E-3</v>
      </c>
      <c r="AE33" s="8">
        <f>MAX(Z24:Z33)</f>
        <v>2.1099640000000002</v>
      </c>
    </row>
    <row r="34" spans="1:31" s="2" customFormat="1" x14ac:dyDescent="0.3">
      <c r="A34" s="1">
        <v>4</v>
      </c>
      <c r="B34" s="2">
        <v>8.23</v>
      </c>
      <c r="C34" s="2">
        <f t="shared" si="0"/>
        <v>-6</v>
      </c>
      <c r="D34" s="2">
        <v>6</v>
      </c>
      <c r="E34" s="2">
        <v>0</v>
      </c>
      <c r="F34" s="2">
        <v>0</v>
      </c>
      <c r="G34" s="2">
        <v>0</v>
      </c>
      <c r="H34" s="2" t="s">
        <v>29</v>
      </c>
      <c r="I34" s="2" t="s">
        <v>30</v>
      </c>
      <c r="J34" s="2" t="s">
        <v>31</v>
      </c>
      <c r="K34" s="2" t="s">
        <v>32</v>
      </c>
      <c r="L34" s="2" t="s">
        <v>33</v>
      </c>
      <c r="M34" s="2" t="s">
        <v>105</v>
      </c>
      <c r="N34" s="2" t="s">
        <v>35</v>
      </c>
      <c r="O34" s="2" t="s">
        <v>35</v>
      </c>
      <c r="P34" s="2" t="s">
        <v>35</v>
      </c>
      <c r="Q34" s="2" t="s">
        <v>36</v>
      </c>
      <c r="R34" s="2" t="s">
        <v>37</v>
      </c>
      <c r="S34" s="2" t="s">
        <v>38</v>
      </c>
      <c r="T34" s="2">
        <v>2</v>
      </c>
      <c r="U34" s="2">
        <v>32</v>
      </c>
      <c r="V34" s="2" t="s">
        <v>106</v>
      </c>
      <c r="W34" s="2" t="s">
        <v>107</v>
      </c>
      <c r="X34" s="2">
        <v>-1.5910000000000001E-2</v>
      </c>
      <c r="Y34" s="3">
        <v>1.4E-5</v>
      </c>
      <c r="Z34" s="2">
        <v>0.70021900000000004</v>
      </c>
      <c r="AA34" s="3">
        <v>2.8E-5</v>
      </c>
      <c r="AB34" s="2">
        <v>-0.193551</v>
      </c>
      <c r="AC34" s="3">
        <v>1.1E-5</v>
      </c>
    </row>
    <row r="35" spans="1:31" s="5" customFormat="1" x14ac:dyDescent="0.3">
      <c r="A35" s="4">
        <v>4</v>
      </c>
      <c r="B35" s="5">
        <v>8.23</v>
      </c>
      <c r="C35" s="5">
        <f t="shared" si="0"/>
        <v>-4</v>
      </c>
      <c r="D35" s="5">
        <v>4</v>
      </c>
      <c r="E35" s="5">
        <v>0</v>
      </c>
      <c r="F35" s="5">
        <v>0</v>
      </c>
      <c r="G35" s="5">
        <v>0</v>
      </c>
      <c r="H35" s="5" t="s">
        <v>29</v>
      </c>
      <c r="I35" s="5" t="s">
        <v>30</v>
      </c>
      <c r="J35" s="5" t="s">
        <v>31</v>
      </c>
      <c r="K35" s="5" t="s">
        <v>32</v>
      </c>
      <c r="L35" s="5" t="s">
        <v>33</v>
      </c>
      <c r="M35" s="5" t="s">
        <v>105</v>
      </c>
      <c r="N35" s="5" t="s">
        <v>35</v>
      </c>
      <c r="O35" s="5" t="s">
        <v>35</v>
      </c>
      <c r="P35" s="5" t="s">
        <v>35</v>
      </c>
      <c r="Q35" s="5" t="s">
        <v>36</v>
      </c>
      <c r="R35" s="5" t="s">
        <v>37</v>
      </c>
      <c r="S35" s="5" t="s">
        <v>38</v>
      </c>
      <c r="T35" s="5">
        <v>2</v>
      </c>
      <c r="U35" s="5">
        <v>32</v>
      </c>
      <c r="V35" s="5" t="s">
        <v>108</v>
      </c>
      <c r="W35" s="5" t="s">
        <v>109</v>
      </c>
      <c r="X35" s="5">
        <v>-1.8010999999999999E-2</v>
      </c>
      <c r="Y35" s="6">
        <v>1.2E-5</v>
      </c>
      <c r="Z35" s="5">
        <v>0.92184100000000002</v>
      </c>
      <c r="AA35" s="6">
        <v>3.6999999999999998E-5</v>
      </c>
      <c r="AB35" s="5">
        <v>-0.21427299999999999</v>
      </c>
      <c r="AC35" s="6">
        <v>1.4E-5</v>
      </c>
    </row>
    <row r="36" spans="1:31" s="5" customFormat="1" x14ac:dyDescent="0.3">
      <c r="A36" s="4">
        <v>4</v>
      </c>
      <c r="B36" s="5">
        <v>8.23</v>
      </c>
      <c r="C36" s="5">
        <f t="shared" si="0"/>
        <v>-2</v>
      </c>
      <c r="D36" s="5">
        <v>2</v>
      </c>
      <c r="E36" s="5">
        <v>0</v>
      </c>
      <c r="F36" s="5">
        <v>0</v>
      </c>
      <c r="G36" s="5">
        <v>0</v>
      </c>
      <c r="H36" s="5" t="s">
        <v>29</v>
      </c>
      <c r="I36" s="5" t="s">
        <v>30</v>
      </c>
      <c r="J36" s="5" t="s">
        <v>31</v>
      </c>
      <c r="K36" s="5" t="s">
        <v>32</v>
      </c>
      <c r="L36" s="5" t="s">
        <v>33</v>
      </c>
      <c r="M36" s="5" t="s">
        <v>105</v>
      </c>
      <c r="N36" s="5" t="s">
        <v>35</v>
      </c>
      <c r="O36" s="5" t="s">
        <v>35</v>
      </c>
      <c r="P36" s="5" t="s">
        <v>35</v>
      </c>
      <c r="Q36" s="5" t="s">
        <v>36</v>
      </c>
      <c r="R36" s="5" t="s">
        <v>37</v>
      </c>
      <c r="S36" s="5" t="s">
        <v>38</v>
      </c>
      <c r="T36" s="5">
        <v>2</v>
      </c>
      <c r="U36" s="5">
        <v>32</v>
      </c>
      <c r="V36" s="5" t="s">
        <v>110</v>
      </c>
      <c r="W36" s="5" t="s">
        <v>111</v>
      </c>
      <c r="X36" s="5">
        <v>-2.0625000000000001E-2</v>
      </c>
      <c r="Y36" s="5">
        <v>1.6100000000000001E-4</v>
      </c>
      <c r="Z36" s="5">
        <v>1.1427240000000001</v>
      </c>
      <c r="AA36" s="5">
        <v>7.3499999999999998E-4</v>
      </c>
      <c r="AB36" s="5">
        <v>-0.23460900000000001</v>
      </c>
      <c r="AC36" s="5">
        <v>4.4700000000000002E-4</v>
      </c>
    </row>
    <row r="37" spans="1:31" s="5" customFormat="1" x14ac:dyDescent="0.3">
      <c r="A37" s="4">
        <v>4</v>
      </c>
      <c r="B37" s="5">
        <v>8.23</v>
      </c>
      <c r="C37" s="5">
        <f t="shared" si="0"/>
        <v>0</v>
      </c>
      <c r="D37" s="5">
        <v>0</v>
      </c>
      <c r="E37" s="5">
        <v>0</v>
      </c>
      <c r="F37" s="5">
        <v>0</v>
      </c>
      <c r="G37" s="5">
        <v>0</v>
      </c>
      <c r="H37" s="5" t="s">
        <v>29</v>
      </c>
      <c r="I37" s="5" t="s">
        <v>30</v>
      </c>
      <c r="J37" s="5" t="s">
        <v>31</v>
      </c>
      <c r="K37" s="5" t="s">
        <v>32</v>
      </c>
      <c r="L37" s="5" t="s">
        <v>33</v>
      </c>
      <c r="M37" s="5" t="s">
        <v>105</v>
      </c>
      <c r="N37" s="5" t="s">
        <v>35</v>
      </c>
      <c r="O37" s="5" t="s">
        <v>35</v>
      </c>
      <c r="P37" s="5" t="s">
        <v>35</v>
      </c>
      <c r="Q37" s="5" t="s">
        <v>36</v>
      </c>
      <c r="R37" s="5" t="s">
        <v>37</v>
      </c>
      <c r="S37" s="5" t="s">
        <v>38</v>
      </c>
      <c r="T37" s="5">
        <v>2</v>
      </c>
      <c r="U37" s="5">
        <v>32</v>
      </c>
      <c r="V37" s="5" t="s">
        <v>112</v>
      </c>
      <c r="W37" s="5" t="s">
        <v>113</v>
      </c>
      <c r="X37" s="5">
        <v>-2.4268999999999999E-2</v>
      </c>
      <c r="Y37" s="5">
        <v>1.3200000000000001E-4</v>
      </c>
      <c r="Z37" s="5">
        <v>1.358611</v>
      </c>
      <c r="AA37" s="5">
        <v>4.9299999999999995E-4</v>
      </c>
      <c r="AB37" s="5">
        <v>-0.25370799999999999</v>
      </c>
      <c r="AC37" s="5">
        <v>2.9700000000000001E-4</v>
      </c>
    </row>
    <row r="38" spans="1:31" s="5" customFormat="1" x14ac:dyDescent="0.3">
      <c r="A38" s="4">
        <v>4</v>
      </c>
      <c r="B38" s="5">
        <v>8.23</v>
      </c>
      <c r="C38" s="5">
        <f t="shared" si="0"/>
        <v>2</v>
      </c>
      <c r="D38" s="5">
        <v>-2</v>
      </c>
      <c r="E38" s="5">
        <v>0</v>
      </c>
      <c r="F38" s="5">
        <v>0</v>
      </c>
      <c r="G38" s="5">
        <v>0</v>
      </c>
      <c r="H38" s="5" t="s">
        <v>29</v>
      </c>
      <c r="I38" s="5" t="s">
        <v>30</v>
      </c>
      <c r="J38" s="5" t="s">
        <v>31</v>
      </c>
      <c r="K38" s="5" t="s">
        <v>32</v>
      </c>
      <c r="L38" s="5" t="s">
        <v>33</v>
      </c>
      <c r="M38" s="5" t="s">
        <v>105</v>
      </c>
      <c r="N38" s="5" t="s">
        <v>35</v>
      </c>
      <c r="O38" s="5" t="s">
        <v>35</v>
      </c>
      <c r="P38" s="5" t="s">
        <v>35</v>
      </c>
      <c r="Q38" s="5" t="s">
        <v>36</v>
      </c>
      <c r="R38" s="5" t="s">
        <v>37</v>
      </c>
      <c r="S38" s="5" t="s">
        <v>38</v>
      </c>
      <c r="T38" s="5">
        <v>2</v>
      </c>
      <c r="U38" s="5">
        <v>32</v>
      </c>
      <c r="V38" s="5" t="s">
        <v>114</v>
      </c>
      <c r="W38" s="5" t="s">
        <v>115</v>
      </c>
      <c r="X38" s="5">
        <v>-2.8580999999999999E-2</v>
      </c>
      <c r="Y38" s="5">
        <v>1.3300000000000001E-4</v>
      </c>
      <c r="Z38" s="5">
        <v>1.569096</v>
      </c>
      <c r="AA38" s="5">
        <v>4.4900000000000002E-4</v>
      </c>
      <c r="AB38" s="5">
        <v>-0.27134599999999998</v>
      </c>
      <c r="AC38" s="5">
        <v>2.7300000000000002E-4</v>
      </c>
    </row>
    <row r="39" spans="1:31" s="5" customFormat="1" x14ac:dyDescent="0.3">
      <c r="A39" s="4">
        <v>4</v>
      </c>
      <c r="B39" s="5">
        <v>8.23</v>
      </c>
      <c r="C39" s="5">
        <f t="shared" si="0"/>
        <v>4</v>
      </c>
      <c r="D39" s="5">
        <v>-4</v>
      </c>
      <c r="E39" s="5">
        <v>0</v>
      </c>
      <c r="F39" s="5">
        <v>0</v>
      </c>
      <c r="G39" s="5">
        <v>0</v>
      </c>
      <c r="H39" s="5" t="s">
        <v>29</v>
      </c>
      <c r="I39" s="5" t="s">
        <v>30</v>
      </c>
      <c r="J39" s="5" t="s">
        <v>31</v>
      </c>
      <c r="K39" s="5" t="s">
        <v>32</v>
      </c>
      <c r="L39" s="5" t="s">
        <v>33</v>
      </c>
      <c r="M39" s="5" t="s">
        <v>105</v>
      </c>
      <c r="N39" s="5" t="s">
        <v>35</v>
      </c>
      <c r="O39" s="5" t="s">
        <v>35</v>
      </c>
      <c r="P39" s="5" t="s">
        <v>35</v>
      </c>
      <c r="Q39" s="5" t="s">
        <v>36</v>
      </c>
      <c r="R39" s="5" t="s">
        <v>37</v>
      </c>
      <c r="S39" s="5" t="s">
        <v>38</v>
      </c>
      <c r="T39" s="5">
        <v>2</v>
      </c>
      <c r="U39" s="5">
        <v>32</v>
      </c>
      <c r="V39" s="5" t="s">
        <v>116</v>
      </c>
      <c r="W39" s="5" t="s">
        <v>117</v>
      </c>
      <c r="X39" s="5">
        <v>-3.3787999999999999E-2</v>
      </c>
      <c r="Y39" s="5">
        <v>1.9000000000000001E-4</v>
      </c>
      <c r="Z39" s="5">
        <v>1.772583</v>
      </c>
      <c r="AA39" s="5">
        <v>6.0800000000000003E-4</v>
      </c>
      <c r="AB39" s="5">
        <v>-0.28745700000000002</v>
      </c>
      <c r="AC39" s="5">
        <v>3.6900000000000002E-4</v>
      </c>
    </row>
    <row r="40" spans="1:31" s="5" customFormat="1" x14ac:dyDescent="0.3">
      <c r="A40" s="4">
        <v>4</v>
      </c>
      <c r="B40" s="5">
        <v>8.23</v>
      </c>
      <c r="C40" s="5">
        <f t="shared" si="0"/>
        <v>6</v>
      </c>
      <c r="D40" s="5">
        <v>-6</v>
      </c>
      <c r="E40" s="5">
        <v>0</v>
      </c>
      <c r="F40" s="5">
        <v>0</v>
      </c>
      <c r="G40" s="5">
        <v>0</v>
      </c>
      <c r="H40" s="5" t="s">
        <v>29</v>
      </c>
      <c r="I40" s="5" t="s">
        <v>30</v>
      </c>
      <c r="J40" s="5" t="s">
        <v>31</v>
      </c>
      <c r="K40" s="5" t="s">
        <v>32</v>
      </c>
      <c r="L40" s="5" t="s">
        <v>33</v>
      </c>
      <c r="M40" s="5" t="s">
        <v>105</v>
      </c>
      <c r="N40" s="5" t="s">
        <v>35</v>
      </c>
      <c r="O40" s="5" t="s">
        <v>35</v>
      </c>
      <c r="P40" s="5" t="s">
        <v>35</v>
      </c>
      <c r="Q40" s="5" t="s">
        <v>36</v>
      </c>
      <c r="R40" s="5" t="s">
        <v>37</v>
      </c>
      <c r="S40" s="5" t="s">
        <v>38</v>
      </c>
      <c r="T40" s="5">
        <v>2</v>
      </c>
      <c r="U40" s="5">
        <v>32</v>
      </c>
      <c r="V40" s="5" t="s">
        <v>118</v>
      </c>
      <c r="W40" s="5" t="s">
        <v>119</v>
      </c>
      <c r="X40" s="5">
        <v>-4.0247999999999999E-2</v>
      </c>
      <c r="Y40" s="5">
        <v>1.6799999999999999E-4</v>
      </c>
      <c r="Z40" s="5">
        <v>1.9658359999999999</v>
      </c>
      <c r="AA40" s="5">
        <v>4.9100000000000001E-4</v>
      </c>
      <c r="AB40" s="5">
        <v>-0.30154199999999998</v>
      </c>
      <c r="AC40" s="5">
        <v>2.9500000000000001E-4</v>
      </c>
    </row>
    <row r="41" spans="1:31" s="5" customFormat="1" x14ac:dyDescent="0.3">
      <c r="A41" s="4">
        <v>4</v>
      </c>
      <c r="B41" s="5">
        <v>8.23</v>
      </c>
      <c r="C41" s="5">
        <f t="shared" si="0"/>
        <v>8</v>
      </c>
      <c r="D41" s="5">
        <v>-8</v>
      </c>
      <c r="E41" s="5">
        <v>0</v>
      </c>
      <c r="F41" s="5">
        <v>0</v>
      </c>
      <c r="G41" s="5">
        <v>0</v>
      </c>
      <c r="H41" s="5" t="s">
        <v>29</v>
      </c>
      <c r="I41" s="5" t="s">
        <v>30</v>
      </c>
      <c r="J41" s="5" t="s">
        <v>31</v>
      </c>
      <c r="K41" s="5" t="s">
        <v>32</v>
      </c>
      <c r="L41" s="5" t="s">
        <v>33</v>
      </c>
      <c r="M41" s="5" t="s">
        <v>105</v>
      </c>
      <c r="N41" s="5" t="s">
        <v>35</v>
      </c>
      <c r="O41" s="5" t="s">
        <v>35</v>
      </c>
      <c r="P41" s="5" t="s">
        <v>35</v>
      </c>
      <c r="Q41" s="5" t="s">
        <v>36</v>
      </c>
      <c r="R41" s="5" t="s">
        <v>37</v>
      </c>
      <c r="S41" s="5" t="s">
        <v>38</v>
      </c>
      <c r="T41" s="5">
        <v>2</v>
      </c>
      <c r="U41" s="5">
        <v>32</v>
      </c>
      <c r="V41" s="5" t="s">
        <v>120</v>
      </c>
      <c r="W41" s="5" t="s">
        <v>121</v>
      </c>
      <c r="X41" s="5">
        <v>-4.7865999999999999E-2</v>
      </c>
      <c r="Y41" s="6">
        <v>5.8999999999999998E-5</v>
      </c>
      <c r="Z41" s="5">
        <v>2.1464270000000001</v>
      </c>
      <c r="AA41" s="5">
        <v>1.11E-4</v>
      </c>
      <c r="AB41" s="5">
        <v>-0.31351000000000001</v>
      </c>
      <c r="AC41" s="6">
        <v>4.6E-5</v>
      </c>
    </row>
    <row r="42" spans="1:31" s="5" customFormat="1" x14ac:dyDescent="0.3">
      <c r="A42" s="4">
        <v>4</v>
      </c>
      <c r="B42" s="5">
        <v>8.23</v>
      </c>
      <c r="C42" s="5">
        <f t="shared" si="0"/>
        <v>10</v>
      </c>
      <c r="D42" s="5">
        <v>-10</v>
      </c>
      <c r="E42" s="5">
        <v>0</v>
      </c>
      <c r="F42" s="5">
        <v>0</v>
      </c>
      <c r="G42" s="5">
        <v>0</v>
      </c>
      <c r="H42" s="5" t="s">
        <v>29</v>
      </c>
      <c r="I42" s="5" t="s">
        <v>30</v>
      </c>
      <c r="J42" s="5" t="s">
        <v>31</v>
      </c>
      <c r="K42" s="5" t="s">
        <v>32</v>
      </c>
      <c r="L42" s="5" t="s">
        <v>33</v>
      </c>
      <c r="M42" s="5" t="s">
        <v>105</v>
      </c>
      <c r="N42" s="5" t="s">
        <v>35</v>
      </c>
      <c r="O42" s="5" t="s">
        <v>35</v>
      </c>
      <c r="P42" s="5" t="s">
        <v>35</v>
      </c>
      <c r="Q42" s="5" t="s">
        <v>36</v>
      </c>
      <c r="R42" s="5" t="s">
        <v>37</v>
      </c>
      <c r="S42" s="5" t="s">
        <v>38</v>
      </c>
      <c r="T42" s="5">
        <v>2</v>
      </c>
      <c r="U42" s="5">
        <v>32</v>
      </c>
      <c r="V42" s="5" t="s">
        <v>122</v>
      </c>
      <c r="W42" s="5" t="s">
        <v>123</v>
      </c>
      <c r="X42" s="5">
        <v>-5.8153000000000003E-2</v>
      </c>
      <c r="Y42" s="6">
        <v>6.0999999999999999E-5</v>
      </c>
      <c r="Z42" s="5">
        <v>2.307547</v>
      </c>
      <c r="AA42" s="6">
        <v>8.6000000000000003E-5</v>
      </c>
      <c r="AB42" s="5">
        <v>-0.32325399999999999</v>
      </c>
      <c r="AC42" s="6">
        <v>4.1999999999999998E-5</v>
      </c>
    </row>
    <row r="43" spans="1:31" s="5" customFormat="1" x14ac:dyDescent="0.3">
      <c r="A43" s="4">
        <v>4</v>
      </c>
      <c r="B43" s="5">
        <v>8.23</v>
      </c>
      <c r="C43" s="5">
        <f t="shared" si="0"/>
        <v>12</v>
      </c>
      <c r="D43" s="5">
        <v>-12</v>
      </c>
      <c r="E43" s="5">
        <v>0</v>
      </c>
      <c r="F43" s="5">
        <v>0</v>
      </c>
      <c r="G43" s="5">
        <v>0</v>
      </c>
      <c r="H43" s="5" t="s">
        <v>29</v>
      </c>
      <c r="I43" s="5" t="s">
        <v>30</v>
      </c>
      <c r="J43" s="5" t="s">
        <v>31</v>
      </c>
      <c r="K43" s="5" t="s">
        <v>32</v>
      </c>
      <c r="L43" s="5" t="s">
        <v>33</v>
      </c>
      <c r="M43" s="5" t="s">
        <v>105</v>
      </c>
      <c r="N43" s="5" t="s">
        <v>35</v>
      </c>
      <c r="O43" s="5" t="s">
        <v>35</v>
      </c>
      <c r="P43" s="5" t="s">
        <v>35</v>
      </c>
      <c r="Q43" s="5" t="s">
        <v>36</v>
      </c>
      <c r="R43" s="5" t="s">
        <v>37</v>
      </c>
      <c r="S43" s="5" t="s">
        <v>38</v>
      </c>
      <c r="T43" s="5">
        <v>2</v>
      </c>
      <c r="U43" s="5">
        <v>32</v>
      </c>
      <c r="V43" s="5" t="s">
        <v>124</v>
      </c>
      <c r="W43" s="5" t="s">
        <v>125</v>
      </c>
      <c r="X43" s="5">
        <v>-7.3784000000000002E-2</v>
      </c>
      <c r="Y43" s="6">
        <v>6.2000000000000003E-5</v>
      </c>
      <c r="Z43" s="5">
        <v>2.4211559999999999</v>
      </c>
      <c r="AA43" s="5">
        <v>1.45E-4</v>
      </c>
      <c r="AB43" s="5">
        <v>-0.32761600000000002</v>
      </c>
      <c r="AC43" s="6">
        <v>8.7999999999999998E-5</v>
      </c>
      <c r="AE43" s="5" t="s">
        <v>195</v>
      </c>
    </row>
    <row r="44" spans="1:31" s="8" customFormat="1" x14ac:dyDescent="0.3">
      <c r="A44" s="7">
        <v>4</v>
      </c>
      <c r="B44" s="8">
        <v>8.23</v>
      </c>
      <c r="C44" s="8">
        <f t="shared" si="0"/>
        <v>14</v>
      </c>
      <c r="D44" s="8">
        <v>-14</v>
      </c>
      <c r="E44" s="8">
        <v>0</v>
      </c>
      <c r="F44" s="8">
        <v>0</v>
      </c>
      <c r="G44" s="8">
        <v>0</v>
      </c>
      <c r="H44" s="8" t="s">
        <v>29</v>
      </c>
      <c r="I44" s="8" t="s">
        <v>30</v>
      </c>
      <c r="J44" s="8" t="s">
        <v>31</v>
      </c>
      <c r="K44" s="8" t="s">
        <v>32</v>
      </c>
      <c r="L44" s="8" t="s">
        <v>33</v>
      </c>
      <c r="M44" s="8" t="s">
        <v>105</v>
      </c>
      <c r="N44" s="8" t="s">
        <v>35</v>
      </c>
      <c r="O44" s="8" t="s">
        <v>35</v>
      </c>
      <c r="P44" s="8" t="s">
        <v>35</v>
      </c>
      <c r="Q44" s="8" t="s">
        <v>36</v>
      </c>
      <c r="R44" s="8" t="s">
        <v>37</v>
      </c>
      <c r="S44" s="8" t="s">
        <v>38</v>
      </c>
      <c r="T44" s="8">
        <v>2</v>
      </c>
      <c r="U44" s="8">
        <v>32</v>
      </c>
      <c r="V44" s="8" t="s">
        <v>126</v>
      </c>
      <c r="W44" s="8" t="s">
        <v>127</v>
      </c>
      <c r="X44" s="8">
        <v>-0.15990099999999999</v>
      </c>
      <c r="Y44" s="8">
        <v>1.0491E-2</v>
      </c>
      <c r="Z44" s="8">
        <v>2.1751909999999999</v>
      </c>
      <c r="AA44" s="8">
        <v>3.1699999999999999E-2</v>
      </c>
      <c r="AB44" s="8">
        <v>-0.32708599999999999</v>
      </c>
      <c r="AC44" s="8">
        <v>8.9960000000000005E-3</v>
      </c>
      <c r="AE44" s="8">
        <f>MAX(Z35:Z44)</f>
        <v>2.4211559999999999</v>
      </c>
    </row>
    <row r="45" spans="1:31" s="2" customFormat="1" x14ac:dyDescent="0.3">
      <c r="A45" s="1">
        <v>4</v>
      </c>
      <c r="B45" s="2">
        <v>8.23</v>
      </c>
      <c r="C45" s="2">
        <f t="shared" si="0"/>
        <v>-6</v>
      </c>
      <c r="D45" s="2">
        <v>6</v>
      </c>
      <c r="E45" s="2">
        <v>0</v>
      </c>
      <c r="F45" s="2">
        <v>0</v>
      </c>
      <c r="G45" s="2">
        <v>0</v>
      </c>
      <c r="H45" s="2" t="s">
        <v>29</v>
      </c>
      <c r="I45" s="2" t="s">
        <v>30</v>
      </c>
      <c r="J45" s="2" t="s">
        <v>31</v>
      </c>
      <c r="K45" s="2" t="s">
        <v>32</v>
      </c>
      <c r="L45" s="2" t="s">
        <v>33</v>
      </c>
      <c r="M45" s="2" t="s">
        <v>128</v>
      </c>
      <c r="N45" s="2" t="s">
        <v>35</v>
      </c>
      <c r="O45" s="2" t="s">
        <v>35</v>
      </c>
      <c r="P45" s="2" t="s">
        <v>35</v>
      </c>
      <c r="Q45" s="2" t="s">
        <v>36</v>
      </c>
      <c r="R45" s="2" t="s">
        <v>37</v>
      </c>
      <c r="S45" s="2" t="s">
        <v>38</v>
      </c>
      <c r="T45" s="2">
        <v>2</v>
      </c>
      <c r="U45" s="2">
        <v>32</v>
      </c>
      <c r="V45" s="2" t="s">
        <v>129</v>
      </c>
      <c r="W45" s="2" t="s">
        <v>130</v>
      </c>
      <c r="X45" s="2">
        <v>-2.0060000000000001E-2</v>
      </c>
      <c r="Y45" s="3">
        <v>2.4000000000000001E-5</v>
      </c>
      <c r="Z45" s="2">
        <v>1.1200479999999999</v>
      </c>
      <c r="AA45" s="3">
        <v>3.4E-5</v>
      </c>
      <c r="AB45" s="2">
        <v>-0.27788299999999999</v>
      </c>
      <c r="AC45" s="3">
        <v>1.5999999999999999E-5</v>
      </c>
    </row>
    <row r="46" spans="1:31" s="5" customFormat="1" x14ac:dyDescent="0.3">
      <c r="A46" s="4">
        <v>4</v>
      </c>
      <c r="B46" s="5">
        <v>8.23</v>
      </c>
      <c r="C46" s="5">
        <f t="shared" si="0"/>
        <v>-4</v>
      </c>
      <c r="D46" s="5">
        <v>4</v>
      </c>
      <c r="E46" s="5">
        <v>0</v>
      </c>
      <c r="F46" s="5">
        <v>0</v>
      </c>
      <c r="G46" s="5">
        <v>0</v>
      </c>
      <c r="H46" s="5" t="s">
        <v>29</v>
      </c>
      <c r="I46" s="5" t="s">
        <v>30</v>
      </c>
      <c r="J46" s="5" t="s">
        <v>31</v>
      </c>
      <c r="K46" s="5" t="s">
        <v>32</v>
      </c>
      <c r="L46" s="5" t="s">
        <v>33</v>
      </c>
      <c r="M46" s="5" t="s">
        <v>128</v>
      </c>
      <c r="N46" s="5" t="s">
        <v>35</v>
      </c>
      <c r="O46" s="5" t="s">
        <v>35</v>
      </c>
      <c r="P46" s="5" t="s">
        <v>35</v>
      </c>
      <c r="Q46" s="5" t="s">
        <v>36</v>
      </c>
      <c r="R46" s="5" t="s">
        <v>37</v>
      </c>
      <c r="S46" s="5" t="s">
        <v>38</v>
      </c>
      <c r="T46" s="5">
        <v>2</v>
      </c>
      <c r="U46" s="5">
        <v>32</v>
      </c>
      <c r="V46" s="5" t="s">
        <v>131</v>
      </c>
      <c r="W46" s="5" t="s">
        <v>132</v>
      </c>
      <c r="X46" s="5">
        <v>-2.3199999999999998E-2</v>
      </c>
      <c r="Y46" s="6">
        <v>3.3000000000000003E-5</v>
      </c>
      <c r="Z46" s="5">
        <v>1.334889</v>
      </c>
      <c r="AA46" s="6">
        <v>8.3999999999999995E-5</v>
      </c>
      <c r="AB46" s="5">
        <v>-0.29632599999999998</v>
      </c>
      <c r="AC46" s="6">
        <v>4.5000000000000003E-5</v>
      </c>
    </row>
    <row r="47" spans="1:31" s="5" customFormat="1" x14ac:dyDescent="0.3">
      <c r="A47" s="4">
        <v>4</v>
      </c>
      <c r="B47" s="5">
        <v>8.23</v>
      </c>
      <c r="C47" s="5">
        <f t="shared" si="0"/>
        <v>-2</v>
      </c>
      <c r="D47" s="5">
        <v>2</v>
      </c>
      <c r="E47" s="5">
        <v>0</v>
      </c>
      <c r="F47" s="5">
        <v>0</v>
      </c>
      <c r="G47" s="5">
        <v>0</v>
      </c>
      <c r="H47" s="5" t="s">
        <v>29</v>
      </c>
      <c r="I47" s="5" t="s">
        <v>30</v>
      </c>
      <c r="J47" s="5" t="s">
        <v>31</v>
      </c>
      <c r="K47" s="5" t="s">
        <v>32</v>
      </c>
      <c r="L47" s="5" t="s">
        <v>33</v>
      </c>
      <c r="M47" s="5" t="s">
        <v>128</v>
      </c>
      <c r="N47" s="5" t="s">
        <v>35</v>
      </c>
      <c r="O47" s="5" t="s">
        <v>35</v>
      </c>
      <c r="P47" s="5" t="s">
        <v>35</v>
      </c>
      <c r="Q47" s="5" t="s">
        <v>36</v>
      </c>
      <c r="R47" s="5" t="s">
        <v>37</v>
      </c>
      <c r="S47" s="5" t="s">
        <v>38</v>
      </c>
      <c r="T47" s="5">
        <v>2</v>
      </c>
      <c r="U47" s="5">
        <v>32</v>
      </c>
      <c r="V47" s="5" t="s">
        <v>133</v>
      </c>
      <c r="W47" s="5" t="s">
        <v>134</v>
      </c>
      <c r="X47" s="5">
        <v>-2.6716E-2</v>
      </c>
      <c r="Y47" s="6">
        <v>9.5000000000000005E-5</v>
      </c>
      <c r="Z47" s="5">
        <v>1.546486</v>
      </c>
      <c r="AA47" s="5">
        <v>2.5599999999999999E-4</v>
      </c>
      <c r="AB47" s="5">
        <v>-0.31373000000000001</v>
      </c>
      <c r="AC47" s="5">
        <v>1.4899999999999999E-4</v>
      </c>
    </row>
    <row r="48" spans="1:31" s="5" customFormat="1" x14ac:dyDescent="0.3">
      <c r="A48" s="4">
        <v>4</v>
      </c>
      <c r="B48" s="5">
        <v>8.23</v>
      </c>
      <c r="C48" s="5">
        <f t="shared" si="0"/>
        <v>0</v>
      </c>
      <c r="D48" s="5">
        <v>0</v>
      </c>
      <c r="E48" s="5">
        <v>0</v>
      </c>
      <c r="F48" s="5">
        <v>0</v>
      </c>
      <c r="G48" s="5">
        <v>0</v>
      </c>
      <c r="H48" s="5" t="s">
        <v>29</v>
      </c>
      <c r="I48" s="5" t="s">
        <v>30</v>
      </c>
      <c r="J48" s="5" t="s">
        <v>31</v>
      </c>
      <c r="K48" s="5" t="s">
        <v>32</v>
      </c>
      <c r="L48" s="5" t="s">
        <v>33</v>
      </c>
      <c r="M48" s="5" t="s">
        <v>128</v>
      </c>
      <c r="N48" s="5" t="s">
        <v>35</v>
      </c>
      <c r="O48" s="5" t="s">
        <v>35</v>
      </c>
      <c r="P48" s="5" t="s">
        <v>35</v>
      </c>
      <c r="Q48" s="5" t="s">
        <v>36</v>
      </c>
      <c r="R48" s="5" t="s">
        <v>37</v>
      </c>
      <c r="S48" s="5" t="s">
        <v>38</v>
      </c>
      <c r="T48" s="5">
        <v>2</v>
      </c>
      <c r="U48" s="5">
        <v>32</v>
      </c>
      <c r="V48" s="5" t="s">
        <v>135</v>
      </c>
      <c r="W48" s="5" t="s">
        <v>136</v>
      </c>
      <c r="X48" s="5">
        <v>-3.1248999999999999E-2</v>
      </c>
      <c r="Y48" s="6">
        <v>2.9E-5</v>
      </c>
      <c r="Z48" s="5">
        <v>1.7518009999999999</v>
      </c>
      <c r="AA48" s="6">
        <v>8.3999999999999995E-5</v>
      </c>
      <c r="AB48" s="5">
        <v>-0.32958999999999999</v>
      </c>
      <c r="AC48" s="6">
        <v>2.9E-5</v>
      </c>
    </row>
    <row r="49" spans="1:31" s="5" customFormat="1" x14ac:dyDescent="0.3">
      <c r="A49" s="4">
        <v>4</v>
      </c>
      <c r="B49" s="5">
        <v>8.23</v>
      </c>
      <c r="C49" s="5">
        <f t="shared" si="0"/>
        <v>2</v>
      </c>
      <c r="D49" s="5">
        <v>-2</v>
      </c>
      <c r="E49" s="5">
        <v>0</v>
      </c>
      <c r="F49" s="5">
        <v>0</v>
      </c>
      <c r="G49" s="5">
        <v>0</v>
      </c>
      <c r="H49" s="5" t="s">
        <v>29</v>
      </c>
      <c r="I49" s="5" t="s">
        <v>30</v>
      </c>
      <c r="J49" s="5" t="s">
        <v>31</v>
      </c>
      <c r="K49" s="5" t="s">
        <v>32</v>
      </c>
      <c r="L49" s="5" t="s">
        <v>33</v>
      </c>
      <c r="M49" s="5" t="s">
        <v>128</v>
      </c>
      <c r="N49" s="5" t="s">
        <v>35</v>
      </c>
      <c r="O49" s="5" t="s">
        <v>35</v>
      </c>
      <c r="P49" s="5" t="s">
        <v>35</v>
      </c>
      <c r="Q49" s="5" t="s">
        <v>36</v>
      </c>
      <c r="R49" s="5" t="s">
        <v>37</v>
      </c>
      <c r="S49" s="5" t="s">
        <v>38</v>
      </c>
      <c r="T49" s="5">
        <v>2</v>
      </c>
      <c r="U49" s="5">
        <v>32</v>
      </c>
      <c r="V49" s="5" t="s">
        <v>137</v>
      </c>
      <c r="W49" s="5" t="s">
        <v>138</v>
      </c>
      <c r="X49" s="5">
        <v>-3.6402999999999998E-2</v>
      </c>
      <c r="Y49" s="6">
        <v>8.2999999999999998E-5</v>
      </c>
      <c r="Z49" s="5">
        <v>1.950494</v>
      </c>
      <c r="AA49" s="5">
        <v>1.6100000000000001E-4</v>
      </c>
      <c r="AB49" s="5">
        <v>-0.34387400000000001</v>
      </c>
      <c r="AC49" s="6">
        <v>7.3999999999999996E-5</v>
      </c>
    </row>
    <row r="50" spans="1:31" s="5" customFormat="1" x14ac:dyDescent="0.3">
      <c r="A50" s="4">
        <v>4</v>
      </c>
      <c r="B50" s="5">
        <v>8.23</v>
      </c>
      <c r="C50" s="5">
        <f t="shared" si="0"/>
        <v>4</v>
      </c>
      <c r="D50" s="5">
        <v>-4</v>
      </c>
      <c r="E50" s="5">
        <v>0</v>
      </c>
      <c r="F50" s="5">
        <v>0</v>
      </c>
      <c r="G50" s="5">
        <v>0</v>
      </c>
      <c r="H50" s="5" t="s">
        <v>29</v>
      </c>
      <c r="I50" s="5" t="s">
        <v>30</v>
      </c>
      <c r="J50" s="5" t="s">
        <v>31</v>
      </c>
      <c r="K50" s="5" t="s">
        <v>32</v>
      </c>
      <c r="L50" s="5" t="s">
        <v>33</v>
      </c>
      <c r="M50" s="5" t="s">
        <v>128</v>
      </c>
      <c r="N50" s="5" t="s">
        <v>35</v>
      </c>
      <c r="O50" s="5" t="s">
        <v>35</v>
      </c>
      <c r="P50" s="5" t="s">
        <v>35</v>
      </c>
      <c r="Q50" s="5" t="s">
        <v>36</v>
      </c>
      <c r="R50" s="5" t="s">
        <v>37</v>
      </c>
      <c r="S50" s="5" t="s">
        <v>38</v>
      </c>
      <c r="T50" s="5">
        <v>2</v>
      </c>
      <c r="U50" s="5">
        <v>32</v>
      </c>
      <c r="V50" s="5" t="s">
        <v>139</v>
      </c>
      <c r="W50" s="5" t="s">
        <v>140</v>
      </c>
      <c r="X50" s="5">
        <v>-4.2555000000000003E-2</v>
      </c>
      <c r="Y50" s="6">
        <v>9.0000000000000006E-5</v>
      </c>
      <c r="Z50" s="5">
        <v>2.1384599999999998</v>
      </c>
      <c r="AA50" s="5">
        <v>3.1E-4</v>
      </c>
      <c r="AB50" s="5">
        <v>-0.35576400000000002</v>
      </c>
      <c r="AC50" s="5">
        <v>1.3200000000000001E-4</v>
      </c>
    </row>
    <row r="51" spans="1:31" s="5" customFormat="1" x14ac:dyDescent="0.3">
      <c r="A51" s="4">
        <v>4</v>
      </c>
      <c r="B51" s="5">
        <v>8.23</v>
      </c>
      <c r="C51" s="5">
        <f t="shared" si="0"/>
        <v>6</v>
      </c>
      <c r="D51" s="5">
        <v>-6</v>
      </c>
      <c r="E51" s="5">
        <v>0</v>
      </c>
      <c r="F51" s="5">
        <v>0</v>
      </c>
      <c r="G51" s="5">
        <v>0</v>
      </c>
      <c r="H51" s="5" t="s">
        <v>29</v>
      </c>
      <c r="I51" s="5" t="s">
        <v>30</v>
      </c>
      <c r="J51" s="5" t="s">
        <v>31</v>
      </c>
      <c r="K51" s="5" t="s">
        <v>32</v>
      </c>
      <c r="L51" s="5" t="s">
        <v>33</v>
      </c>
      <c r="M51" s="5" t="s">
        <v>128</v>
      </c>
      <c r="N51" s="5" t="s">
        <v>35</v>
      </c>
      <c r="O51" s="5" t="s">
        <v>35</v>
      </c>
      <c r="P51" s="5" t="s">
        <v>35</v>
      </c>
      <c r="Q51" s="5" t="s">
        <v>36</v>
      </c>
      <c r="R51" s="5" t="s">
        <v>37</v>
      </c>
      <c r="S51" s="5" t="s">
        <v>38</v>
      </c>
      <c r="T51" s="5">
        <v>2</v>
      </c>
      <c r="U51" s="5">
        <v>32</v>
      </c>
      <c r="V51" s="5" t="s">
        <v>141</v>
      </c>
      <c r="W51" s="5" t="s">
        <v>142</v>
      </c>
      <c r="X51" s="5">
        <v>-4.9743999999999997E-2</v>
      </c>
      <c r="Y51" s="6">
        <v>8.7999999999999998E-5</v>
      </c>
      <c r="Z51" s="5">
        <v>2.3140269999999998</v>
      </c>
      <c r="AA51" s="5">
        <v>2.7300000000000002E-4</v>
      </c>
      <c r="AB51" s="5">
        <v>-0.36511199999999999</v>
      </c>
      <c r="AC51" s="5">
        <v>1.06E-4</v>
      </c>
    </row>
    <row r="52" spans="1:31" s="5" customFormat="1" x14ac:dyDescent="0.3">
      <c r="A52" s="4">
        <v>4</v>
      </c>
      <c r="B52" s="5">
        <v>8.23</v>
      </c>
      <c r="C52" s="5">
        <f t="shared" si="0"/>
        <v>8</v>
      </c>
      <c r="D52" s="5">
        <v>-8</v>
      </c>
      <c r="E52" s="5">
        <v>0</v>
      </c>
      <c r="F52" s="5">
        <v>0</v>
      </c>
      <c r="G52" s="5">
        <v>0</v>
      </c>
      <c r="H52" s="5" t="s">
        <v>29</v>
      </c>
      <c r="I52" s="5" t="s">
        <v>30</v>
      </c>
      <c r="J52" s="5" t="s">
        <v>31</v>
      </c>
      <c r="K52" s="5" t="s">
        <v>32</v>
      </c>
      <c r="L52" s="5" t="s">
        <v>33</v>
      </c>
      <c r="M52" s="5" t="s">
        <v>128</v>
      </c>
      <c r="N52" s="5" t="s">
        <v>35</v>
      </c>
      <c r="O52" s="5" t="s">
        <v>35</v>
      </c>
      <c r="P52" s="5" t="s">
        <v>35</v>
      </c>
      <c r="Q52" s="5" t="s">
        <v>36</v>
      </c>
      <c r="R52" s="5" t="s">
        <v>37</v>
      </c>
      <c r="S52" s="5" t="s">
        <v>38</v>
      </c>
      <c r="T52" s="5">
        <v>2</v>
      </c>
      <c r="U52" s="5">
        <v>32</v>
      </c>
      <c r="V52" s="5" t="s">
        <v>143</v>
      </c>
      <c r="W52" s="5" t="s">
        <v>144</v>
      </c>
      <c r="X52" s="5">
        <v>-5.8791000000000003E-2</v>
      </c>
      <c r="Y52" s="6">
        <v>7.2000000000000002E-5</v>
      </c>
      <c r="Z52" s="5">
        <v>2.4735360000000002</v>
      </c>
      <c r="AA52" s="5">
        <v>1.34E-4</v>
      </c>
      <c r="AB52" s="5">
        <v>-0.37184800000000001</v>
      </c>
      <c r="AC52" s="6">
        <v>5.1E-5</v>
      </c>
    </row>
    <row r="53" spans="1:31" s="5" customFormat="1" x14ac:dyDescent="0.3">
      <c r="A53" s="4">
        <v>4</v>
      </c>
      <c r="B53" s="5">
        <v>8.23</v>
      </c>
      <c r="C53" s="5">
        <f t="shared" si="0"/>
        <v>10</v>
      </c>
      <c r="D53" s="5">
        <v>-10</v>
      </c>
      <c r="E53" s="5">
        <v>0</v>
      </c>
      <c r="F53" s="5">
        <v>0</v>
      </c>
      <c r="G53" s="5">
        <v>0</v>
      </c>
      <c r="H53" s="5" t="s">
        <v>29</v>
      </c>
      <c r="I53" s="5" t="s">
        <v>30</v>
      </c>
      <c r="J53" s="5" t="s">
        <v>31</v>
      </c>
      <c r="K53" s="5" t="s">
        <v>32</v>
      </c>
      <c r="L53" s="5" t="s">
        <v>33</v>
      </c>
      <c r="M53" s="5" t="s">
        <v>128</v>
      </c>
      <c r="N53" s="5" t="s">
        <v>35</v>
      </c>
      <c r="O53" s="5" t="s">
        <v>35</v>
      </c>
      <c r="P53" s="5" t="s">
        <v>35</v>
      </c>
      <c r="Q53" s="5" t="s">
        <v>36</v>
      </c>
      <c r="R53" s="5" t="s">
        <v>37</v>
      </c>
      <c r="S53" s="5" t="s">
        <v>38</v>
      </c>
      <c r="T53" s="5">
        <v>2</v>
      </c>
      <c r="U53" s="5">
        <v>32</v>
      </c>
      <c r="V53" s="5" t="s">
        <v>145</v>
      </c>
      <c r="W53" s="5" t="s">
        <v>146</v>
      </c>
      <c r="X53" s="5">
        <v>-7.0288000000000003E-2</v>
      </c>
      <c r="Y53" s="6">
        <v>6.9999999999999994E-5</v>
      </c>
      <c r="Z53" s="5">
        <v>2.6042779999999999</v>
      </c>
      <c r="AA53" s="5">
        <v>1.5200000000000001E-4</v>
      </c>
      <c r="AB53" s="5">
        <v>-0.37472299999999997</v>
      </c>
      <c r="AC53" s="6">
        <v>5.0000000000000002E-5</v>
      </c>
    </row>
    <row r="54" spans="1:31" s="5" customFormat="1" x14ac:dyDescent="0.3">
      <c r="A54" s="4">
        <v>4</v>
      </c>
      <c r="B54" s="5">
        <v>8.23</v>
      </c>
      <c r="C54" s="5">
        <f t="shared" si="0"/>
        <v>12</v>
      </c>
      <c r="D54" s="5">
        <v>-12</v>
      </c>
      <c r="E54" s="5">
        <v>0</v>
      </c>
      <c r="F54" s="5">
        <v>0</v>
      </c>
      <c r="G54" s="5">
        <v>0</v>
      </c>
      <c r="H54" s="5" t="s">
        <v>29</v>
      </c>
      <c r="I54" s="5" t="s">
        <v>30</v>
      </c>
      <c r="J54" s="5" t="s">
        <v>31</v>
      </c>
      <c r="K54" s="5" t="s">
        <v>32</v>
      </c>
      <c r="L54" s="5" t="s">
        <v>33</v>
      </c>
      <c r="M54" s="5" t="s">
        <v>128</v>
      </c>
      <c r="N54" s="5" t="s">
        <v>35</v>
      </c>
      <c r="O54" s="5" t="s">
        <v>35</v>
      </c>
      <c r="P54" s="5" t="s">
        <v>35</v>
      </c>
      <c r="Q54" s="5" t="s">
        <v>36</v>
      </c>
      <c r="R54" s="5" t="s">
        <v>37</v>
      </c>
      <c r="S54" s="5" t="s">
        <v>38</v>
      </c>
      <c r="T54" s="5">
        <v>2</v>
      </c>
      <c r="U54" s="5">
        <v>32</v>
      </c>
      <c r="V54" s="5" t="s">
        <v>147</v>
      </c>
      <c r="W54" s="5" t="s">
        <v>148</v>
      </c>
      <c r="X54" s="5">
        <v>-8.8353000000000001E-2</v>
      </c>
      <c r="Y54" s="6">
        <v>8.0000000000000007E-5</v>
      </c>
      <c r="Z54" s="5">
        <v>2.6582819999999998</v>
      </c>
      <c r="AA54" s="5">
        <v>2.52E-4</v>
      </c>
      <c r="AB54" s="5">
        <v>-0.36748599999999998</v>
      </c>
      <c r="AC54" s="6">
        <v>7.2000000000000002E-5</v>
      </c>
      <c r="AE54" s="5" t="s">
        <v>195</v>
      </c>
    </row>
    <row r="55" spans="1:31" s="8" customFormat="1" x14ac:dyDescent="0.3">
      <c r="A55" s="7">
        <v>4</v>
      </c>
      <c r="B55" s="8">
        <v>8.23</v>
      </c>
      <c r="C55" s="8">
        <f t="shared" si="0"/>
        <v>14</v>
      </c>
      <c r="D55" s="8">
        <v>-14</v>
      </c>
      <c r="E55" s="8">
        <v>0</v>
      </c>
      <c r="F55" s="8">
        <v>0</v>
      </c>
      <c r="G55" s="8">
        <v>0</v>
      </c>
      <c r="H55" s="8" t="s">
        <v>29</v>
      </c>
      <c r="I55" s="8" t="s">
        <v>30</v>
      </c>
      <c r="J55" s="8" t="s">
        <v>31</v>
      </c>
      <c r="K55" s="8" t="s">
        <v>32</v>
      </c>
      <c r="L55" s="8" t="s">
        <v>33</v>
      </c>
      <c r="M55" s="8" t="s">
        <v>128</v>
      </c>
      <c r="N55" s="8" t="s">
        <v>35</v>
      </c>
      <c r="O55" s="8" t="s">
        <v>35</v>
      </c>
      <c r="P55" s="8" t="s">
        <v>35</v>
      </c>
      <c r="Q55" s="8" t="s">
        <v>36</v>
      </c>
      <c r="R55" s="8" t="s">
        <v>37</v>
      </c>
      <c r="S55" s="8" t="s">
        <v>38</v>
      </c>
      <c r="T55" s="8">
        <v>2</v>
      </c>
      <c r="U55" s="8">
        <v>32</v>
      </c>
      <c r="V55" s="8" t="s">
        <v>149</v>
      </c>
      <c r="W55" s="8" t="s">
        <v>150</v>
      </c>
      <c r="X55" s="8">
        <v>-0.31798700000000002</v>
      </c>
      <c r="Y55" s="8">
        <v>5.1199999999999998E-4</v>
      </c>
      <c r="Z55" s="8">
        <v>1.328864</v>
      </c>
      <c r="AA55" s="8">
        <v>1.1410000000000001E-3</v>
      </c>
      <c r="AB55" s="8">
        <v>-0.31812200000000002</v>
      </c>
      <c r="AC55" s="8">
        <v>5.1099999999999995E-4</v>
      </c>
      <c r="AE55" s="8">
        <f>MAX(Z46:Z55)</f>
        <v>2.6582819999999998</v>
      </c>
    </row>
    <row r="56" spans="1:31" s="2" customFormat="1" x14ac:dyDescent="0.3">
      <c r="A56" s="1">
        <v>4</v>
      </c>
      <c r="B56" s="2">
        <v>8.23</v>
      </c>
      <c r="C56" s="2">
        <f t="shared" si="0"/>
        <v>-6</v>
      </c>
      <c r="D56" s="2">
        <v>6</v>
      </c>
      <c r="E56" s="2">
        <v>0</v>
      </c>
      <c r="F56" s="2">
        <v>0</v>
      </c>
      <c r="G56" s="2">
        <v>0</v>
      </c>
      <c r="H56" s="2" t="s">
        <v>29</v>
      </c>
      <c r="I56" s="2" t="s">
        <v>30</v>
      </c>
      <c r="J56" s="2" t="s">
        <v>31</v>
      </c>
      <c r="K56" s="2" t="s">
        <v>32</v>
      </c>
      <c r="L56" s="2" t="s">
        <v>33</v>
      </c>
      <c r="M56" s="2" t="s">
        <v>151</v>
      </c>
      <c r="N56" s="2" t="s">
        <v>35</v>
      </c>
      <c r="O56" s="2" t="s">
        <v>35</v>
      </c>
      <c r="P56" s="2" t="s">
        <v>35</v>
      </c>
      <c r="Q56" s="2" t="s">
        <v>36</v>
      </c>
      <c r="R56" s="2" t="s">
        <v>37</v>
      </c>
      <c r="S56" s="2" t="s">
        <v>38</v>
      </c>
      <c r="T56" s="2">
        <v>2</v>
      </c>
      <c r="U56" s="2">
        <v>32</v>
      </c>
      <c r="V56" s="2" t="s">
        <v>152</v>
      </c>
      <c r="W56" s="2" t="s">
        <v>153</v>
      </c>
      <c r="X56" s="2">
        <v>-2.6578999999999998E-2</v>
      </c>
      <c r="Y56" s="3">
        <v>5.3999999999999998E-5</v>
      </c>
      <c r="Z56" s="2">
        <v>1.527077</v>
      </c>
      <c r="AA56" s="2">
        <v>2.63E-4</v>
      </c>
      <c r="AB56" s="2">
        <v>-0.35875000000000001</v>
      </c>
      <c r="AC56" s="2">
        <v>1.13E-4</v>
      </c>
    </row>
    <row r="57" spans="1:31" s="5" customFormat="1" x14ac:dyDescent="0.3">
      <c r="A57" s="4">
        <v>4</v>
      </c>
      <c r="B57" s="5">
        <v>8.23</v>
      </c>
      <c r="C57" s="5">
        <f t="shared" si="0"/>
        <v>-4</v>
      </c>
      <c r="D57" s="5">
        <v>4</v>
      </c>
      <c r="E57" s="5">
        <v>0</v>
      </c>
      <c r="F57" s="5">
        <v>0</v>
      </c>
      <c r="G57" s="5">
        <v>0</v>
      </c>
      <c r="H57" s="5" t="s">
        <v>29</v>
      </c>
      <c r="I57" s="5" t="s">
        <v>30</v>
      </c>
      <c r="J57" s="5" t="s">
        <v>31</v>
      </c>
      <c r="K57" s="5" t="s">
        <v>32</v>
      </c>
      <c r="L57" s="5" t="s">
        <v>33</v>
      </c>
      <c r="M57" s="5" t="s">
        <v>151</v>
      </c>
      <c r="N57" s="5" t="s">
        <v>35</v>
      </c>
      <c r="O57" s="5" t="s">
        <v>35</v>
      </c>
      <c r="P57" s="5" t="s">
        <v>35</v>
      </c>
      <c r="Q57" s="5" t="s">
        <v>36</v>
      </c>
      <c r="R57" s="5" t="s">
        <v>37</v>
      </c>
      <c r="S57" s="5" t="s">
        <v>38</v>
      </c>
      <c r="T57" s="5">
        <v>2</v>
      </c>
      <c r="U57" s="5">
        <v>32</v>
      </c>
      <c r="V57" s="5" t="s">
        <v>154</v>
      </c>
      <c r="W57" s="5" t="s">
        <v>155</v>
      </c>
      <c r="X57" s="5">
        <v>-3.0731000000000001E-2</v>
      </c>
      <c r="Y57" s="6">
        <v>4.1999999999999998E-5</v>
      </c>
      <c r="Z57" s="5">
        <v>1.7324109999999999</v>
      </c>
      <c r="AA57" s="5">
        <v>1E-4</v>
      </c>
      <c r="AB57" s="5">
        <v>-0.37456600000000001</v>
      </c>
      <c r="AC57" s="6">
        <v>4.6999999999999997E-5</v>
      </c>
    </row>
    <row r="58" spans="1:31" s="5" customFormat="1" x14ac:dyDescent="0.3">
      <c r="A58" s="4">
        <v>4</v>
      </c>
      <c r="B58" s="5">
        <v>8.23</v>
      </c>
      <c r="C58" s="5">
        <f t="shared" si="0"/>
        <v>-2</v>
      </c>
      <c r="D58" s="5">
        <v>2</v>
      </c>
      <c r="E58" s="5">
        <v>0</v>
      </c>
      <c r="F58" s="5">
        <v>0</v>
      </c>
      <c r="G58" s="5">
        <v>0</v>
      </c>
      <c r="H58" s="5" t="s">
        <v>29</v>
      </c>
      <c r="I58" s="5" t="s">
        <v>30</v>
      </c>
      <c r="J58" s="5" t="s">
        <v>31</v>
      </c>
      <c r="K58" s="5" t="s">
        <v>32</v>
      </c>
      <c r="L58" s="5" t="s">
        <v>33</v>
      </c>
      <c r="M58" s="5" t="s">
        <v>151</v>
      </c>
      <c r="N58" s="5" t="s">
        <v>35</v>
      </c>
      <c r="O58" s="5" t="s">
        <v>35</v>
      </c>
      <c r="P58" s="5" t="s">
        <v>35</v>
      </c>
      <c r="Q58" s="5" t="s">
        <v>36</v>
      </c>
      <c r="R58" s="5" t="s">
        <v>37</v>
      </c>
      <c r="S58" s="5" t="s">
        <v>38</v>
      </c>
      <c r="T58" s="5">
        <v>2</v>
      </c>
      <c r="U58" s="5">
        <v>32</v>
      </c>
      <c r="V58" s="5" t="s">
        <v>156</v>
      </c>
      <c r="W58" s="5" t="s">
        <v>157</v>
      </c>
      <c r="X58" s="5">
        <v>-3.5317000000000001E-2</v>
      </c>
      <c r="Y58" s="6">
        <v>2.5000000000000001E-5</v>
      </c>
      <c r="Z58" s="5">
        <v>1.931465</v>
      </c>
      <c r="AA58" s="6">
        <v>7.6000000000000004E-5</v>
      </c>
      <c r="AB58" s="5">
        <v>-0.38850899999999999</v>
      </c>
      <c r="AC58" s="6">
        <v>3.8000000000000002E-5</v>
      </c>
    </row>
    <row r="59" spans="1:31" s="5" customFormat="1" x14ac:dyDescent="0.3">
      <c r="A59" s="4">
        <v>4</v>
      </c>
      <c r="B59" s="5">
        <v>8.23</v>
      </c>
      <c r="C59" s="5">
        <f t="shared" si="0"/>
        <v>0</v>
      </c>
      <c r="D59" s="5">
        <v>0</v>
      </c>
      <c r="E59" s="5">
        <v>0</v>
      </c>
      <c r="F59" s="5">
        <v>0</v>
      </c>
      <c r="G59" s="5">
        <v>0</v>
      </c>
      <c r="H59" s="5" t="s">
        <v>29</v>
      </c>
      <c r="I59" s="5" t="s">
        <v>30</v>
      </c>
      <c r="J59" s="5" t="s">
        <v>31</v>
      </c>
      <c r="K59" s="5" t="s">
        <v>32</v>
      </c>
      <c r="L59" s="5" t="s">
        <v>33</v>
      </c>
      <c r="M59" s="5" t="s">
        <v>151</v>
      </c>
      <c r="N59" s="5" t="s">
        <v>35</v>
      </c>
      <c r="O59" s="5" t="s">
        <v>35</v>
      </c>
      <c r="P59" s="5" t="s">
        <v>35</v>
      </c>
      <c r="Q59" s="5" t="s">
        <v>36</v>
      </c>
      <c r="R59" s="5" t="s">
        <v>37</v>
      </c>
      <c r="S59" s="5" t="s">
        <v>38</v>
      </c>
      <c r="T59" s="5">
        <v>2</v>
      </c>
      <c r="U59" s="5">
        <v>32</v>
      </c>
      <c r="V59" s="5" t="s">
        <v>158</v>
      </c>
      <c r="W59" s="5" t="s">
        <v>159</v>
      </c>
      <c r="X59" s="5">
        <v>-4.0468999999999998E-2</v>
      </c>
      <c r="Y59" s="6">
        <v>6.9999999999999999E-6</v>
      </c>
      <c r="Z59" s="5">
        <v>2.1224729999999998</v>
      </c>
      <c r="AA59" s="6">
        <v>1.0000000000000001E-5</v>
      </c>
      <c r="AB59" s="5">
        <v>-0.40046199999999998</v>
      </c>
      <c r="AC59" s="6">
        <v>5.0000000000000004E-6</v>
      </c>
    </row>
    <row r="60" spans="1:31" s="5" customFormat="1" x14ac:dyDescent="0.3">
      <c r="A60" s="4">
        <v>4</v>
      </c>
      <c r="B60" s="5">
        <v>8.23</v>
      </c>
      <c r="C60" s="5">
        <f t="shared" si="0"/>
        <v>2</v>
      </c>
      <c r="D60" s="5">
        <v>-2</v>
      </c>
      <c r="E60" s="5">
        <v>0</v>
      </c>
      <c r="F60" s="5">
        <v>0</v>
      </c>
      <c r="G60" s="5">
        <v>0</v>
      </c>
      <c r="H60" s="5" t="s">
        <v>29</v>
      </c>
      <c r="I60" s="5" t="s">
        <v>30</v>
      </c>
      <c r="J60" s="5" t="s">
        <v>31</v>
      </c>
      <c r="K60" s="5" t="s">
        <v>32</v>
      </c>
      <c r="L60" s="5" t="s">
        <v>33</v>
      </c>
      <c r="M60" s="5" t="s">
        <v>151</v>
      </c>
      <c r="N60" s="5" t="s">
        <v>35</v>
      </c>
      <c r="O60" s="5" t="s">
        <v>35</v>
      </c>
      <c r="P60" s="5" t="s">
        <v>35</v>
      </c>
      <c r="Q60" s="5" t="s">
        <v>36</v>
      </c>
      <c r="R60" s="5" t="s">
        <v>37</v>
      </c>
      <c r="S60" s="5" t="s">
        <v>38</v>
      </c>
      <c r="T60" s="5">
        <v>2</v>
      </c>
      <c r="U60" s="5">
        <v>32</v>
      </c>
      <c r="V60" s="5" t="s">
        <v>160</v>
      </c>
      <c r="W60" s="5" t="s">
        <v>161</v>
      </c>
      <c r="X60" s="5">
        <v>-4.6524000000000003E-2</v>
      </c>
      <c r="Y60" s="6">
        <v>8.6000000000000003E-5</v>
      </c>
      <c r="Z60" s="5">
        <v>2.3041580000000002</v>
      </c>
      <c r="AA60" s="5">
        <v>4.0099999999999999E-4</v>
      </c>
      <c r="AB60" s="5">
        <v>-0.41029300000000002</v>
      </c>
      <c r="AC60" s="5">
        <v>1.5200000000000001E-4</v>
      </c>
    </row>
    <row r="61" spans="1:31" s="5" customFormat="1" x14ac:dyDescent="0.3">
      <c r="A61" s="4">
        <v>4</v>
      </c>
      <c r="B61" s="5">
        <v>8.23</v>
      </c>
      <c r="C61" s="5">
        <f t="shared" si="0"/>
        <v>4</v>
      </c>
      <c r="D61" s="5">
        <v>-4</v>
      </c>
      <c r="E61" s="5">
        <v>0</v>
      </c>
      <c r="F61" s="5">
        <v>0</v>
      </c>
      <c r="G61" s="5">
        <v>0</v>
      </c>
      <c r="H61" s="5" t="s">
        <v>29</v>
      </c>
      <c r="I61" s="5" t="s">
        <v>30</v>
      </c>
      <c r="J61" s="5" t="s">
        <v>31</v>
      </c>
      <c r="K61" s="5" t="s">
        <v>32</v>
      </c>
      <c r="L61" s="5" t="s">
        <v>33</v>
      </c>
      <c r="M61" s="5" t="s">
        <v>151</v>
      </c>
      <c r="N61" s="5" t="s">
        <v>35</v>
      </c>
      <c r="O61" s="5" t="s">
        <v>35</v>
      </c>
      <c r="P61" s="5" t="s">
        <v>35</v>
      </c>
      <c r="Q61" s="5" t="s">
        <v>36</v>
      </c>
      <c r="R61" s="5" t="s">
        <v>37</v>
      </c>
      <c r="S61" s="5" t="s">
        <v>38</v>
      </c>
      <c r="T61" s="5">
        <v>2</v>
      </c>
      <c r="U61" s="5">
        <v>32</v>
      </c>
      <c r="V61" s="5" t="s">
        <v>162</v>
      </c>
      <c r="W61" s="5" t="s">
        <v>163</v>
      </c>
      <c r="X61" s="5">
        <v>-5.3531000000000002E-2</v>
      </c>
      <c r="Y61" s="6">
        <v>8.1000000000000004E-5</v>
      </c>
      <c r="Z61" s="5">
        <v>2.4731900000000002</v>
      </c>
      <c r="AA61" s="5">
        <v>1.9000000000000001E-4</v>
      </c>
      <c r="AB61" s="5">
        <v>-0.41743400000000003</v>
      </c>
      <c r="AC61" s="6">
        <v>7.7999999999999999E-5</v>
      </c>
    </row>
    <row r="62" spans="1:31" s="5" customFormat="1" x14ac:dyDescent="0.3">
      <c r="A62" s="4">
        <v>4</v>
      </c>
      <c r="B62" s="5">
        <v>8.23</v>
      </c>
      <c r="C62" s="5">
        <f t="shared" si="0"/>
        <v>6</v>
      </c>
      <c r="D62" s="5">
        <v>-6</v>
      </c>
      <c r="E62" s="5">
        <v>0</v>
      </c>
      <c r="F62" s="5">
        <v>0</v>
      </c>
      <c r="G62" s="5">
        <v>0</v>
      </c>
      <c r="H62" s="5" t="s">
        <v>29</v>
      </c>
      <c r="I62" s="5" t="s">
        <v>30</v>
      </c>
      <c r="J62" s="5" t="s">
        <v>31</v>
      </c>
      <c r="K62" s="5" t="s">
        <v>32</v>
      </c>
      <c r="L62" s="5" t="s">
        <v>33</v>
      </c>
      <c r="M62" s="5" t="s">
        <v>151</v>
      </c>
      <c r="N62" s="5" t="s">
        <v>35</v>
      </c>
      <c r="O62" s="5" t="s">
        <v>35</v>
      </c>
      <c r="P62" s="5" t="s">
        <v>35</v>
      </c>
      <c r="Q62" s="5" t="s">
        <v>36</v>
      </c>
      <c r="R62" s="5" t="s">
        <v>37</v>
      </c>
      <c r="S62" s="5" t="s">
        <v>38</v>
      </c>
      <c r="T62" s="5">
        <v>2</v>
      </c>
      <c r="U62" s="5">
        <v>32</v>
      </c>
      <c r="V62" s="5" t="s">
        <v>164</v>
      </c>
      <c r="W62" s="5" t="s">
        <v>165</v>
      </c>
      <c r="X62" s="5">
        <v>-6.1678999999999998E-2</v>
      </c>
      <c r="Y62" s="5">
        <v>1.66E-4</v>
      </c>
      <c r="Z62" s="5">
        <v>2.6267960000000001</v>
      </c>
      <c r="AA62" s="5">
        <v>3.4400000000000001E-4</v>
      </c>
      <c r="AB62" s="5">
        <v>-0.42147899999999999</v>
      </c>
      <c r="AC62" s="5">
        <v>1.8200000000000001E-4</v>
      </c>
    </row>
    <row r="63" spans="1:31" s="5" customFormat="1" x14ac:dyDescent="0.3">
      <c r="A63" s="4">
        <v>4</v>
      </c>
      <c r="B63" s="5">
        <v>8.23</v>
      </c>
      <c r="C63" s="5">
        <f t="shared" si="0"/>
        <v>8</v>
      </c>
      <c r="D63" s="5">
        <v>-8</v>
      </c>
      <c r="E63" s="5">
        <v>0</v>
      </c>
      <c r="F63" s="5">
        <v>0</v>
      </c>
      <c r="G63" s="5">
        <v>0</v>
      </c>
      <c r="H63" s="5" t="s">
        <v>29</v>
      </c>
      <c r="I63" s="5" t="s">
        <v>30</v>
      </c>
      <c r="J63" s="5" t="s">
        <v>31</v>
      </c>
      <c r="K63" s="5" t="s">
        <v>32</v>
      </c>
      <c r="L63" s="5" t="s">
        <v>33</v>
      </c>
      <c r="M63" s="5" t="s">
        <v>151</v>
      </c>
      <c r="N63" s="5" t="s">
        <v>35</v>
      </c>
      <c r="O63" s="5" t="s">
        <v>35</v>
      </c>
      <c r="P63" s="5" t="s">
        <v>35</v>
      </c>
      <c r="Q63" s="5" t="s">
        <v>36</v>
      </c>
      <c r="R63" s="5" t="s">
        <v>37</v>
      </c>
      <c r="S63" s="5" t="s">
        <v>38</v>
      </c>
      <c r="T63" s="5">
        <v>2</v>
      </c>
      <c r="U63" s="5">
        <v>32</v>
      </c>
      <c r="V63" s="5" t="s">
        <v>166</v>
      </c>
      <c r="W63" s="5" t="s">
        <v>167</v>
      </c>
      <c r="X63" s="5">
        <v>-7.1455000000000005E-2</v>
      </c>
      <c r="Y63" s="5">
        <v>1.27E-4</v>
      </c>
      <c r="Z63" s="5">
        <v>2.7600169999999999</v>
      </c>
      <c r="AA63" s="5">
        <v>4.4700000000000002E-4</v>
      </c>
      <c r="AB63" s="5">
        <v>-0.42227300000000001</v>
      </c>
      <c r="AC63" s="5">
        <v>1.83E-4</v>
      </c>
    </row>
    <row r="64" spans="1:31" s="5" customFormat="1" x14ac:dyDescent="0.3">
      <c r="A64" s="4">
        <v>4</v>
      </c>
      <c r="B64" s="5">
        <v>8.23</v>
      </c>
      <c r="C64" s="5">
        <f t="shared" si="0"/>
        <v>10</v>
      </c>
      <c r="D64" s="5">
        <v>-10</v>
      </c>
      <c r="E64" s="5">
        <v>0</v>
      </c>
      <c r="F64" s="5">
        <v>0</v>
      </c>
      <c r="G64" s="5">
        <v>0</v>
      </c>
      <c r="H64" s="5" t="s">
        <v>29</v>
      </c>
      <c r="I64" s="5" t="s">
        <v>30</v>
      </c>
      <c r="J64" s="5" t="s">
        <v>31</v>
      </c>
      <c r="K64" s="5" t="s">
        <v>32</v>
      </c>
      <c r="L64" s="5" t="s">
        <v>33</v>
      </c>
      <c r="M64" s="5" t="s">
        <v>151</v>
      </c>
      <c r="N64" s="5" t="s">
        <v>35</v>
      </c>
      <c r="O64" s="5" t="s">
        <v>35</v>
      </c>
      <c r="P64" s="5" t="s">
        <v>35</v>
      </c>
      <c r="Q64" s="5" t="s">
        <v>36</v>
      </c>
      <c r="R64" s="5" t="s">
        <v>37</v>
      </c>
      <c r="S64" s="5" t="s">
        <v>38</v>
      </c>
      <c r="T64" s="5">
        <v>2</v>
      </c>
      <c r="U64" s="5">
        <v>32</v>
      </c>
      <c r="V64" s="5" t="s">
        <v>168</v>
      </c>
      <c r="W64" s="5" t="s">
        <v>169</v>
      </c>
      <c r="X64" s="5">
        <v>-8.4218000000000001E-2</v>
      </c>
      <c r="Y64" s="6">
        <v>8.6000000000000003E-5</v>
      </c>
      <c r="Z64" s="5">
        <v>2.8527680000000002</v>
      </c>
      <c r="AA64" s="5">
        <v>1.2899999999999999E-4</v>
      </c>
      <c r="AB64" s="5">
        <v>-0.41704799999999997</v>
      </c>
      <c r="AC64" s="6">
        <v>5.0000000000000002E-5</v>
      </c>
    </row>
    <row r="65" spans="1:31" s="5" customFormat="1" x14ac:dyDescent="0.3">
      <c r="A65" s="4">
        <v>4</v>
      </c>
      <c r="B65" s="5">
        <v>8.23</v>
      </c>
      <c r="C65" s="5">
        <f t="shared" si="0"/>
        <v>12</v>
      </c>
      <c r="D65" s="5">
        <v>-12</v>
      </c>
      <c r="E65" s="5">
        <v>0</v>
      </c>
      <c r="F65" s="5">
        <v>0</v>
      </c>
      <c r="G65" s="5">
        <v>0</v>
      </c>
      <c r="H65" s="5" t="s">
        <v>29</v>
      </c>
      <c r="I65" s="5" t="s">
        <v>30</v>
      </c>
      <c r="J65" s="5" t="s">
        <v>31</v>
      </c>
      <c r="K65" s="5" t="s">
        <v>32</v>
      </c>
      <c r="L65" s="5" t="s">
        <v>33</v>
      </c>
      <c r="M65" s="5" t="s">
        <v>151</v>
      </c>
      <c r="N65" s="5" t="s">
        <v>35</v>
      </c>
      <c r="O65" s="5" t="s">
        <v>35</v>
      </c>
      <c r="P65" s="5" t="s">
        <v>35</v>
      </c>
      <c r="Q65" s="5" t="s">
        <v>36</v>
      </c>
      <c r="R65" s="5" t="s">
        <v>37</v>
      </c>
      <c r="S65" s="5" t="s">
        <v>38</v>
      </c>
      <c r="T65" s="5">
        <v>2</v>
      </c>
      <c r="U65" s="5">
        <v>32</v>
      </c>
      <c r="V65" s="5" t="s">
        <v>170</v>
      </c>
      <c r="W65" s="5" t="s">
        <v>171</v>
      </c>
      <c r="X65" s="5">
        <v>-0.10563699999999999</v>
      </c>
      <c r="Y65" s="5">
        <v>1.54E-4</v>
      </c>
      <c r="Z65" s="5">
        <v>2.7974350000000001</v>
      </c>
      <c r="AA65" s="5">
        <v>6.6799999999999997E-4</v>
      </c>
      <c r="AB65" s="5">
        <v>-0.39010299999999998</v>
      </c>
      <c r="AC65" s="6">
        <v>6.2000000000000003E-5</v>
      </c>
      <c r="AE65" s="5" t="s">
        <v>195</v>
      </c>
    </row>
    <row r="66" spans="1:31" s="8" customFormat="1" x14ac:dyDescent="0.3">
      <c r="A66" s="7">
        <v>4</v>
      </c>
      <c r="B66" s="8">
        <v>8.23</v>
      </c>
      <c r="C66" s="8">
        <f t="shared" si="0"/>
        <v>14</v>
      </c>
      <c r="D66" s="8">
        <v>-14</v>
      </c>
      <c r="E66" s="8">
        <v>0</v>
      </c>
      <c r="F66" s="8">
        <v>0</v>
      </c>
      <c r="G66" s="8">
        <v>0</v>
      </c>
      <c r="H66" s="8" t="s">
        <v>29</v>
      </c>
      <c r="I66" s="8" t="s">
        <v>30</v>
      </c>
      <c r="J66" s="8" t="s">
        <v>31</v>
      </c>
      <c r="K66" s="8" t="s">
        <v>32</v>
      </c>
      <c r="L66" s="8" t="s">
        <v>33</v>
      </c>
      <c r="M66" s="8" t="s">
        <v>151</v>
      </c>
      <c r="N66" s="8" t="s">
        <v>35</v>
      </c>
      <c r="O66" s="8" t="s">
        <v>35</v>
      </c>
      <c r="P66" s="8" t="s">
        <v>35</v>
      </c>
      <c r="Q66" s="8" t="s">
        <v>36</v>
      </c>
      <c r="R66" s="8" t="s">
        <v>37</v>
      </c>
      <c r="S66" s="8" t="s">
        <v>38</v>
      </c>
      <c r="T66" s="8">
        <v>2</v>
      </c>
      <c r="U66" s="8">
        <v>32</v>
      </c>
      <c r="V66" s="8" t="s">
        <v>172</v>
      </c>
      <c r="W66" s="8" t="s">
        <v>173</v>
      </c>
      <c r="X66" s="8">
        <v>-0.42452800000000002</v>
      </c>
      <c r="Y66" s="8">
        <v>6.9690000000000004E-3</v>
      </c>
      <c r="Z66" s="8">
        <v>1.520235</v>
      </c>
      <c r="AA66" s="8">
        <v>1.8943999999999999E-2</v>
      </c>
      <c r="AB66" s="8">
        <v>-0.39399699999999999</v>
      </c>
      <c r="AC66" s="8">
        <v>6.0660000000000002E-3</v>
      </c>
      <c r="AE66" s="8">
        <f>MAX(Z57:Z66)</f>
        <v>2.8527680000000002</v>
      </c>
    </row>
    <row r="67" spans="1:31" s="5" customFormat="1" x14ac:dyDescent="0.3">
      <c r="A67" s="4">
        <v>4</v>
      </c>
      <c r="B67" s="5">
        <v>8.23</v>
      </c>
      <c r="C67" s="5">
        <f t="shared" ref="C67:C76" si="1">-D67</f>
        <v>-6</v>
      </c>
      <c r="D67" s="5">
        <v>6</v>
      </c>
      <c r="E67" s="5">
        <v>0</v>
      </c>
      <c r="F67" s="5">
        <v>0</v>
      </c>
      <c r="G67" s="5">
        <v>0</v>
      </c>
      <c r="H67" s="5" t="s">
        <v>29</v>
      </c>
      <c r="I67" s="5" t="s">
        <v>30</v>
      </c>
      <c r="J67" s="5" t="s">
        <v>31</v>
      </c>
      <c r="K67" s="5" t="s">
        <v>32</v>
      </c>
      <c r="L67" s="5" t="s">
        <v>33</v>
      </c>
      <c r="M67" s="5" t="s">
        <v>174</v>
      </c>
      <c r="N67" s="5" t="s">
        <v>35</v>
      </c>
      <c r="O67" s="5" t="s">
        <v>35</v>
      </c>
      <c r="P67" s="5" t="s">
        <v>35</v>
      </c>
      <c r="Q67" s="5" t="s">
        <v>36</v>
      </c>
      <c r="R67" s="5" t="s">
        <v>37</v>
      </c>
      <c r="S67" s="5" t="s">
        <v>38</v>
      </c>
      <c r="T67" s="5">
        <v>2</v>
      </c>
      <c r="U67" s="5">
        <v>32</v>
      </c>
      <c r="V67" s="5" t="s">
        <v>175</v>
      </c>
      <c r="W67" t="s">
        <v>176</v>
      </c>
      <c r="X67" s="5">
        <v>-3.4551999999999999E-2</v>
      </c>
      <c r="Y67" s="6">
        <v>3.3000000000000003E-5</v>
      </c>
      <c r="Z67" s="5">
        <v>1.899775</v>
      </c>
      <c r="AA67" s="5">
        <v>1.5200000000000001E-4</v>
      </c>
      <c r="AB67" s="5">
        <v>-0.43152600000000002</v>
      </c>
      <c r="AC67" s="6">
        <v>5.3999999999999998E-5</v>
      </c>
    </row>
    <row r="68" spans="1:31" s="5" customFormat="1" x14ac:dyDescent="0.3">
      <c r="A68" s="4">
        <v>4</v>
      </c>
      <c r="B68" s="5">
        <v>8.23</v>
      </c>
      <c r="C68" s="5">
        <f t="shared" si="1"/>
        <v>-4</v>
      </c>
      <c r="D68" s="5">
        <v>4</v>
      </c>
      <c r="E68" s="5">
        <v>0</v>
      </c>
      <c r="F68" s="5">
        <v>0</v>
      </c>
      <c r="G68" s="5">
        <v>0</v>
      </c>
      <c r="H68" s="5" t="s">
        <v>29</v>
      </c>
      <c r="I68" s="5" t="s">
        <v>30</v>
      </c>
      <c r="J68" s="5" t="s">
        <v>31</v>
      </c>
      <c r="K68" s="5" t="s">
        <v>32</v>
      </c>
      <c r="L68" s="5" t="s">
        <v>33</v>
      </c>
      <c r="M68" s="5" t="s">
        <v>174</v>
      </c>
      <c r="N68" s="5" t="s">
        <v>35</v>
      </c>
      <c r="O68" s="5" t="s">
        <v>35</v>
      </c>
      <c r="P68" s="5" t="s">
        <v>35</v>
      </c>
      <c r="Q68" s="5" t="s">
        <v>36</v>
      </c>
      <c r="R68" s="5" t="s">
        <v>37</v>
      </c>
      <c r="S68" s="5" t="s">
        <v>38</v>
      </c>
      <c r="T68" s="5">
        <v>2</v>
      </c>
      <c r="U68" s="5">
        <v>32</v>
      </c>
      <c r="V68" s="5" t="s">
        <v>177</v>
      </c>
      <c r="W68" t="s">
        <v>178</v>
      </c>
      <c r="X68" s="5">
        <v>-3.9504999999999998E-2</v>
      </c>
      <c r="Y68" s="6">
        <v>5.7000000000000003E-5</v>
      </c>
      <c r="Z68" s="5">
        <v>2.087221</v>
      </c>
      <c r="AA68" s="5">
        <v>1.13E-4</v>
      </c>
      <c r="AB68" s="5">
        <v>-0.44262699999999999</v>
      </c>
      <c r="AC68" s="6">
        <v>6.3999999999999997E-5</v>
      </c>
    </row>
    <row r="69" spans="1:31" s="5" customFormat="1" x14ac:dyDescent="0.3">
      <c r="A69" s="4">
        <v>4</v>
      </c>
      <c r="B69" s="5">
        <v>8.23</v>
      </c>
      <c r="C69" s="5">
        <f t="shared" si="1"/>
        <v>-2</v>
      </c>
      <c r="D69" s="5">
        <v>2</v>
      </c>
      <c r="E69" s="5">
        <v>0</v>
      </c>
      <c r="F69" s="5">
        <v>0</v>
      </c>
      <c r="G69" s="5">
        <v>0</v>
      </c>
      <c r="H69" s="5" t="s">
        <v>29</v>
      </c>
      <c r="I69" s="5" t="s">
        <v>30</v>
      </c>
      <c r="J69" s="5" t="s">
        <v>31</v>
      </c>
      <c r="K69" s="5" t="s">
        <v>32</v>
      </c>
      <c r="L69" s="5" t="s">
        <v>33</v>
      </c>
      <c r="M69" s="5" t="s">
        <v>174</v>
      </c>
      <c r="N69" s="5" t="s">
        <v>35</v>
      </c>
      <c r="O69" s="5" t="s">
        <v>35</v>
      </c>
      <c r="P69" s="5" t="s">
        <v>35</v>
      </c>
      <c r="Q69" s="5" t="s">
        <v>36</v>
      </c>
      <c r="R69" s="5" t="s">
        <v>37</v>
      </c>
      <c r="S69" s="5" t="s">
        <v>38</v>
      </c>
      <c r="T69" s="5">
        <v>2</v>
      </c>
      <c r="U69" s="5">
        <v>32</v>
      </c>
      <c r="V69" s="5" t="s">
        <v>179</v>
      </c>
      <c r="W69" t="s">
        <v>180</v>
      </c>
      <c r="X69" s="5">
        <v>-4.5033999999999998E-2</v>
      </c>
      <c r="Y69" s="6">
        <v>3.1000000000000001E-5</v>
      </c>
      <c r="Z69" s="5">
        <v>2.2677999999999998</v>
      </c>
      <c r="AA69" s="5">
        <v>1.5799999999999999E-4</v>
      </c>
      <c r="AB69" s="5">
        <v>-0.45194699999999999</v>
      </c>
      <c r="AC69" s="6">
        <v>6.3999999999999997E-5</v>
      </c>
    </row>
    <row r="70" spans="1:31" s="5" customFormat="1" x14ac:dyDescent="0.3">
      <c r="A70" s="4">
        <v>4</v>
      </c>
      <c r="B70" s="5">
        <v>8.23</v>
      </c>
      <c r="C70" s="5">
        <f t="shared" si="1"/>
        <v>0</v>
      </c>
      <c r="D70" s="5">
        <v>0</v>
      </c>
      <c r="E70" s="5">
        <v>0</v>
      </c>
      <c r="F70" s="5">
        <v>0</v>
      </c>
      <c r="G70" s="5">
        <v>0</v>
      </c>
      <c r="H70" s="5" t="s">
        <v>29</v>
      </c>
      <c r="I70" s="5" t="s">
        <v>30</v>
      </c>
      <c r="J70" s="5" t="s">
        <v>31</v>
      </c>
      <c r="K70" s="5" t="s">
        <v>32</v>
      </c>
      <c r="L70" s="5" t="s">
        <v>33</v>
      </c>
      <c r="M70" s="5" t="s">
        <v>174</v>
      </c>
      <c r="N70" s="5" t="s">
        <v>35</v>
      </c>
      <c r="O70" s="5" t="s">
        <v>35</v>
      </c>
      <c r="P70" s="5" t="s">
        <v>35</v>
      </c>
      <c r="Q70" s="5" t="s">
        <v>36</v>
      </c>
      <c r="R70" s="5" t="s">
        <v>37</v>
      </c>
      <c r="S70" s="5" t="s">
        <v>38</v>
      </c>
      <c r="T70" s="5">
        <v>2</v>
      </c>
      <c r="U70" s="5">
        <v>32</v>
      </c>
      <c r="V70" s="5" t="s">
        <v>181</v>
      </c>
      <c r="W70" t="s">
        <v>182</v>
      </c>
      <c r="X70" s="5">
        <v>-5.0886000000000001E-2</v>
      </c>
      <c r="Y70" s="6">
        <v>5.3000000000000001E-5</v>
      </c>
      <c r="Z70" s="5">
        <v>2.4306399999999999</v>
      </c>
      <c r="AA70" s="5">
        <v>1.27E-4</v>
      </c>
      <c r="AB70" s="5">
        <v>-0.456735</v>
      </c>
      <c r="AC70" s="6">
        <v>5.7000000000000003E-5</v>
      </c>
    </row>
    <row r="71" spans="1:31" s="5" customFormat="1" x14ac:dyDescent="0.3">
      <c r="A71" s="4">
        <v>4</v>
      </c>
      <c r="B71" s="5">
        <v>8.23</v>
      </c>
      <c r="C71" s="5">
        <f t="shared" si="1"/>
        <v>2</v>
      </c>
      <c r="D71" s="5">
        <v>-2</v>
      </c>
      <c r="E71" s="5">
        <v>0</v>
      </c>
      <c r="F71" s="5">
        <v>0</v>
      </c>
      <c r="G71" s="5">
        <v>0</v>
      </c>
      <c r="H71" s="5" t="s">
        <v>29</v>
      </c>
      <c r="I71" s="5" t="s">
        <v>30</v>
      </c>
      <c r="J71" s="5" t="s">
        <v>31</v>
      </c>
      <c r="K71" s="5" t="s">
        <v>32</v>
      </c>
      <c r="L71" s="5" t="s">
        <v>33</v>
      </c>
      <c r="M71" s="5" t="s">
        <v>174</v>
      </c>
      <c r="N71" s="5" t="s">
        <v>35</v>
      </c>
      <c r="O71" s="5" t="s">
        <v>35</v>
      </c>
      <c r="P71" s="5" t="s">
        <v>35</v>
      </c>
      <c r="Q71" s="5" t="s">
        <v>36</v>
      </c>
      <c r="R71" s="5" t="s">
        <v>37</v>
      </c>
      <c r="S71" s="5" t="s">
        <v>38</v>
      </c>
      <c r="T71" s="5">
        <v>2</v>
      </c>
      <c r="U71" s="5">
        <v>32</v>
      </c>
      <c r="V71" s="5" t="s">
        <v>183</v>
      </c>
      <c r="W71" t="s">
        <v>184</v>
      </c>
      <c r="X71" s="5">
        <v>-5.7530999999999999E-2</v>
      </c>
      <c r="Y71" s="5">
        <v>1.1E-4</v>
      </c>
      <c r="Z71" s="5">
        <v>2.5872389999999998</v>
      </c>
      <c r="AA71" s="5">
        <v>2.7500000000000002E-4</v>
      </c>
      <c r="AB71" s="5">
        <v>-0.46066699999999999</v>
      </c>
      <c r="AC71" s="5">
        <v>1.0399999999999999E-4</v>
      </c>
    </row>
    <row r="72" spans="1:31" s="5" customFormat="1" x14ac:dyDescent="0.3">
      <c r="A72" s="4">
        <v>4</v>
      </c>
      <c r="B72" s="5">
        <v>8.23</v>
      </c>
      <c r="C72" s="5">
        <f t="shared" si="1"/>
        <v>4</v>
      </c>
      <c r="D72" s="5">
        <v>-4</v>
      </c>
      <c r="E72" s="5">
        <v>0</v>
      </c>
      <c r="F72" s="5">
        <v>0</v>
      </c>
      <c r="G72" s="5">
        <v>0</v>
      </c>
      <c r="H72" s="5" t="s">
        <v>29</v>
      </c>
      <c r="I72" s="5" t="s">
        <v>30</v>
      </c>
      <c r="J72" s="5" t="s">
        <v>31</v>
      </c>
      <c r="K72" s="5" t="s">
        <v>32</v>
      </c>
      <c r="L72" s="5" t="s">
        <v>33</v>
      </c>
      <c r="M72" s="5" t="s">
        <v>174</v>
      </c>
      <c r="N72" s="5" t="s">
        <v>35</v>
      </c>
      <c r="O72" s="5" t="s">
        <v>35</v>
      </c>
      <c r="P72" s="5" t="s">
        <v>35</v>
      </c>
      <c r="Q72" s="5" t="s">
        <v>36</v>
      </c>
      <c r="R72" s="5" t="s">
        <v>37</v>
      </c>
      <c r="S72" s="5" t="s">
        <v>38</v>
      </c>
      <c r="T72" s="5">
        <v>2</v>
      </c>
      <c r="U72" s="5">
        <v>32</v>
      </c>
      <c r="V72" s="5" t="s">
        <v>185</v>
      </c>
      <c r="W72" t="s">
        <v>186</v>
      </c>
      <c r="X72" s="5">
        <v>-6.5007999999999996E-2</v>
      </c>
      <c r="Y72" s="6">
        <v>9.7E-5</v>
      </c>
      <c r="Z72" s="5">
        <v>2.7269540000000001</v>
      </c>
      <c r="AA72" s="5">
        <v>1.95E-4</v>
      </c>
      <c r="AB72" s="5">
        <v>-0.46107100000000001</v>
      </c>
      <c r="AC72" s="6">
        <v>8.7999999999999998E-5</v>
      </c>
    </row>
    <row r="73" spans="1:31" s="5" customFormat="1" x14ac:dyDescent="0.3">
      <c r="A73" s="4">
        <v>4</v>
      </c>
      <c r="B73" s="5">
        <v>8.23</v>
      </c>
      <c r="C73" s="5">
        <f t="shared" si="1"/>
        <v>6</v>
      </c>
      <c r="D73" s="5">
        <v>-6</v>
      </c>
      <c r="E73" s="5">
        <v>0</v>
      </c>
      <c r="F73" s="5">
        <v>0</v>
      </c>
      <c r="G73" s="5">
        <v>0</v>
      </c>
      <c r="H73" s="5" t="s">
        <v>29</v>
      </c>
      <c r="I73" s="5" t="s">
        <v>30</v>
      </c>
      <c r="J73" s="5" t="s">
        <v>31</v>
      </c>
      <c r="K73" s="5" t="s">
        <v>32</v>
      </c>
      <c r="L73" s="5" t="s">
        <v>33</v>
      </c>
      <c r="M73" s="5" t="s">
        <v>174</v>
      </c>
      <c r="N73" s="5" t="s">
        <v>35</v>
      </c>
      <c r="O73" s="5" t="s">
        <v>35</v>
      </c>
      <c r="P73" s="5" t="s">
        <v>35</v>
      </c>
      <c r="Q73" s="5" t="s">
        <v>36</v>
      </c>
      <c r="R73" s="5" t="s">
        <v>37</v>
      </c>
      <c r="S73" s="5" t="s">
        <v>38</v>
      </c>
      <c r="T73" s="5">
        <v>2</v>
      </c>
      <c r="U73" s="5">
        <v>32</v>
      </c>
      <c r="V73" s="5" t="s">
        <v>187</v>
      </c>
      <c r="W73" t="s">
        <v>188</v>
      </c>
      <c r="X73" s="5">
        <v>-7.3936000000000002E-2</v>
      </c>
      <c r="Y73" s="6">
        <v>9.3999999999999994E-5</v>
      </c>
      <c r="Z73" s="5">
        <v>2.8619490000000001</v>
      </c>
      <c r="AA73" s="5">
        <v>1.9900000000000001E-4</v>
      </c>
      <c r="AB73" s="5">
        <v>-0.46140300000000001</v>
      </c>
      <c r="AC73" s="6">
        <v>7.7999999999999999E-5</v>
      </c>
    </row>
    <row r="74" spans="1:31" s="5" customFormat="1" x14ac:dyDescent="0.3">
      <c r="A74" s="4">
        <v>4</v>
      </c>
      <c r="B74" s="5">
        <v>8.23</v>
      </c>
      <c r="C74" s="5">
        <f t="shared" si="1"/>
        <v>8</v>
      </c>
      <c r="D74" s="5">
        <v>-8</v>
      </c>
      <c r="E74" s="5">
        <v>0</v>
      </c>
      <c r="F74" s="5">
        <v>0</v>
      </c>
      <c r="G74" s="5">
        <v>0</v>
      </c>
      <c r="H74" s="5" t="s">
        <v>29</v>
      </c>
      <c r="I74" s="5" t="s">
        <v>30</v>
      </c>
      <c r="J74" s="5" t="s">
        <v>31</v>
      </c>
      <c r="K74" s="5" t="s">
        <v>32</v>
      </c>
      <c r="L74" s="5" t="s">
        <v>33</v>
      </c>
      <c r="M74" s="5" t="s">
        <v>174</v>
      </c>
      <c r="N74" s="5" t="s">
        <v>35</v>
      </c>
      <c r="O74" s="5" t="s">
        <v>35</v>
      </c>
      <c r="P74" s="5" t="s">
        <v>35</v>
      </c>
      <c r="Q74" s="5" t="s">
        <v>36</v>
      </c>
      <c r="R74" s="5" t="s">
        <v>37</v>
      </c>
      <c r="S74" s="5" t="s">
        <v>38</v>
      </c>
      <c r="T74" s="5">
        <v>2</v>
      </c>
      <c r="U74" s="5">
        <v>32</v>
      </c>
      <c r="V74" s="5" t="s">
        <v>189</v>
      </c>
      <c r="W74" t="s">
        <v>190</v>
      </c>
      <c r="X74" s="5">
        <v>-8.4653999999999993E-2</v>
      </c>
      <c r="Y74" s="5">
        <v>1.03E-4</v>
      </c>
      <c r="Z74" s="5">
        <v>2.9768349999999999</v>
      </c>
      <c r="AA74" s="5">
        <v>1.5100000000000001E-4</v>
      </c>
      <c r="AB74" s="5">
        <v>-0.45885100000000001</v>
      </c>
      <c r="AC74" s="6">
        <v>6.7999999999999999E-5</v>
      </c>
    </row>
    <row r="75" spans="1:31" s="5" customFormat="1" x14ac:dyDescent="0.3">
      <c r="A75" s="4">
        <v>4</v>
      </c>
      <c r="B75" s="5">
        <v>8.23</v>
      </c>
      <c r="C75" s="5">
        <f t="shared" si="1"/>
        <v>10</v>
      </c>
      <c r="D75" s="5">
        <v>-10</v>
      </c>
      <c r="E75" s="5">
        <v>0</v>
      </c>
      <c r="F75" s="5">
        <v>0</v>
      </c>
      <c r="G75" s="5">
        <v>0</v>
      </c>
      <c r="H75" s="5" t="s">
        <v>29</v>
      </c>
      <c r="I75" s="5" t="s">
        <v>30</v>
      </c>
      <c r="J75" s="5" t="s">
        <v>31</v>
      </c>
      <c r="K75" s="5" t="s">
        <v>32</v>
      </c>
      <c r="L75" s="5" t="s">
        <v>33</v>
      </c>
      <c r="M75" s="5" t="s">
        <v>174</v>
      </c>
      <c r="N75" s="5" t="s">
        <v>35</v>
      </c>
      <c r="O75" s="5" t="s">
        <v>35</v>
      </c>
      <c r="P75" s="5" t="s">
        <v>35</v>
      </c>
      <c r="Q75" s="5" t="s">
        <v>36</v>
      </c>
      <c r="R75" s="5" t="s">
        <v>37</v>
      </c>
      <c r="S75" s="5" t="s">
        <v>38</v>
      </c>
      <c r="T75" s="5">
        <v>2</v>
      </c>
      <c r="U75" s="5">
        <v>32</v>
      </c>
      <c r="V75" s="5" t="s">
        <v>191</v>
      </c>
      <c r="W75" t="s">
        <v>192</v>
      </c>
      <c r="X75" s="5">
        <v>-9.8752999999999994E-2</v>
      </c>
      <c r="Y75" s="6">
        <v>5.7000000000000003E-5</v>
      </c>
      <c r="Z75" s="5">
        <v>3.0195430000000001</v>
      </c>
      <c r="AA75" s="5">
        <v>2.42E-4</v>
      </c>
      <c r="AB75" s="5">
        <v>-0.44447900000000001</v>
      </c>
      <c r="AC75" s="6">
        <v>7.4999999999999993E-5</v>
      </c>
      <c r="AE75" s="5" t="s">
        <v>195</v>
      </c>
    </row>
    <row r="76" spans="1:31" s="8" customFormat="1" x14ac:dyDescent="0.3">
      <c r="A76" s="7">
        <v>4</v>
      </c>
      <c r="B76" s="8">
        <v>8.23</v>
      </c>
      <c r="C76" s="8">
        <f t="shared" si="1"/>
        <v>12</v>
      </c>
      <c r="D76" s="8">
        <v>-12</v>
      </c>
      <c r="E76" s="8">
        <v>0</v>
      </c>
      <c r="F76" s="8">
        <v>0</v>
      </c>
      <c r="G76" s="8">
        <v>0</v>
      </c>
      <c r="H76" s="8" t="s">
        <v>29</v>
      </c>
      <c r="I76" s="8" t="s">
        <v>30</v>
      </c>
      <c r="J76" s="8" t="s">
        <v>31</v>
      </c>
      <c r="K76" s="8" t="s">
        <v>32</v>
      </c>
      <c r="L76" s="8" t="s">
        <v>33</v>
      </c>
      <c r="M76" s="8" t="s">
        <v>174</v>
      </c>
      <c r="N76" s="8" t="s">
        <v>35</v>
      </c>
      <c r="O76" s="8" t="s">
        <v>35</v>
      </c>
      <c r="P76" s="8" t="s">
        <v>35</v>
      </c>
      <c r="Q76" s="8" t="s">
        <v>36</v>
      </c>
      <c r="R76" s="8" t="s">
        <v>37</v>
      </c>
      <c r="S76" s="8" t="s">
        <v>38</v>
      </c>
      <c r="T76" s="8">
        <v>2</v>
      </c>
      <c r="U76" s="8">
        <v>32</v>
      </c>
      <c r="V76" s="8" t="s">
        <v>193</v>
      </c>
      <c r="W76" t="s">
        <v>194</v>
      </c>
      <c r="X76" s="8">
        <v>-0.133192</v>
      </c>
      <c r="Y76" s="8">
        <v>1.8699999999999999E-4</v>
      </c>
      <c r="Z76" s="8">
        <v>2.754114</v>
      </c>
      <c r="AA76" s="8">
        <v>1.526E-3</v>
      </c>
      <c r="AB76" s="8">
        <v>-0.39025500000000002</v>
      </c>
      <c r="AC76" s="8">
        <v>1.65E-4</v>
      </c>
      <c r="AE76" s="8">
        <f>MAX(Z67:Z76)</f>
        <v>3.0195430000000001</v>
      </c>
    </row>
  </sheetData>
  <phoneticPr fontId="18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39"/>
  <sheetViews>
    <sheetView workbookViewId="0">
      <selection activeCell="I2" sqref="I2"/>
    </sheetView>
  </sheetViews>
  <sheetFormatPr defaultColWidth="11.5546875" defaultRowHeight="14.4" x14ac:dyDescent="0.3"/>
  <sheetData>
    <row r="1" spans="1:9" ht="15" thickBot="1" x14ac:dyDescent="0.35">
      <c r="A1" s="10" t="s">
        <v>196</v>
      </c>
      <c r="B1" s="11" t="s">
        <v>197</v>
      </c>
      <c r="C1" s="11" t="s">
        <v>198</v>
      </c>
      <c r="D1" s="11" t="s">
        <v>199</v>
      </c>
      <c r="E1" s="12" t="s">
        <v>200</v>
      </c>
      <c r="I1" t="s">
        <v>202</v>
      </c>
    </row>
    <row r="2" spans="1:9" x14ac:dyDescent="0.3">
      <c r="A2" s="13">
        <v>-10</v>
      </c>
      <c r="B2" s="14">
        <v>10</v>
      </c>
      <c r="C2" s="14">
        <v>-0.184</v>
      </c>
      <c r="D2" s="14">
        <v>0.01</v>
      </c>
      <c r="E2" s="15">
        <v>-0.26500000000000001</v>
      </c>
    </row>
    <row r="3" spans="1:9" x14ac:dyDescent="0.3">
      <c r="A3" s="16">
        <v>-6</v>
      </c>
      <c r="B3">
        <v>10</v>
      </c>
      <c r="C3">
        <v>0.26500000000000001</v>
      </c>
      <c r="D3">
        <v>8.9999999999999993E-3</v>
      </c>
      <c r="E3" s="17">
        <v>-1.24</v>
      </c>
    </row>
    <row r="4" spans="1:9" x14ac:dyDescent="0.3">
      <c r="A4" s="16">
        <v>-2</v>
      </c>
      <c r="B4">
        <v>10</v>
      </c>
      <c r="C4">
        <v>0.71399999999999997</v>
      </c>
      <c r="D4">
        <v>0.01</v>
      </c>
      <c r="E4" s="17">
        <v>-2.194</v>
      </c>
    </row>
    <row r="5" spans="1:9" x14ac:dyDescent="0.3">
      <c r="A5" s="16">
        <v>2</v>
      </c>
      <c r="B5">
        <v>10</v>
      </c>
      <c r="C5">
        <v>1.1559999999999999</v>
      </c>
      <c r="D5">
        <v>1.2E-2</v>
      </c>
      <c r="E5" s="17">
        <v>-3.113</v>
      </c>
    </row>
    <row r="6" spans="1:9" x14ac:dyDescent="0.3">
      <c r="A6" s="16">
        <v>6</v>
      </c>
      <c r="B6">
        <v>10</v>
      </c>
      <c r="C6">
        <v>1.583</v>
      </c>
      <c r="D6">
        <v>1.7000000000000001E-2</v>
      </c>
      <c r="E6" s="17">
        <v>-3.972</v>
      </c>
    </row>
    <row r="7" spans="1:9" x14ac:dyDescent="0.3">
      <c r="A7" s="16">
        <v>10</v>
      </c>
      <c r="B7">
        <v>10</v>
      </c>
      <c r="C7">
        <v>1.982</v>
      </c>
      <c r="D7">
        <v>2.5000000000000001E-2</v>
      </c>
      <c r="E7" s="17">
        <v>-4.7320000000000002</v>
      </c>
    </row>
    <row r="8" spans="1:9" x14ac:dyDescent="0.3">
      <c r="A8" s="16">
        <v>11</v>
      </c>
      <c r="B8">
        <v>10</v>
      </c>
      <c r="C8">
        <v>2.0760000000000001</v>
      </c>
      <c r="D8">
        <v>2.8000000000000001E-2</v>
      </c>
      <c r="E8" s="17">
        <v>-4.9050000000000002</v>
      </c>
      <c r="F8" t="s">
        <v>201</v>
      </c>
    </row>
    <row r="9" spans="1:9" ht="15" thickBot="1" x14ac:dyDescent="0.35">
      <c r="A9" s="18">
        <v>12</v>
      </c>
      <c r="B9" s="19">
        <v>10</v>
      </c>
      <c r="C9" s="19">
        <v>2.1629999999999998</v>
      </c>
      <c r="D9" s="19">
        <v>3.2000000000000001E-2</v>
      </c>
      <c r="E9" s="20">
        <v>-5.0629999999999997</v>
      </c>
      <c r="F9">
        <f>MAX(C2:C9)</f>
        <v>2.1629999999999998</v>
      </c>
    </row>
    <row r="10" spans="1:9" x14ac:dyDescent="0.3">
      <c r="A10" s="13">
        <v>-10</v>
      </c>
      <c r="B10" s="14">
        <v>15</v>
      </c>
      <c r="C10" s="14">
        <v>0.251</v>
      </c>
      <c r="D10" s="14">
        <v>8.9999999999999993E-3</v>
      </c>
      <c r="E10" s="15">
        <v>-1.601</v>
      </c>
    </row>
    <row r="11" spans="1:9" x14ac:dyDescent="0.3">
      <c r="A11" s="16">
        <v>-6</v>
      </c>
      <c r="B11">
        <v>15</v>
      </c>
      <c r="C11">
        <v>0.70199999999999996</v>
      </c>
      <c r="D11">
        <v>0.01</v>
      </c>
      <c r="E11" s="17">
        <v>-2.5579999999999998</v>
      </c>
    </row>
    <row r="12" spans="1:9" x14ac:dyDescent="0.3">
      <c r="A12" s="16">
        <v>-2</v>
      </c>
      <c r="B12">
        <v>15</v>
      </c>
      <c r="C12">
        <v>1.1439999999999999</v>
      </c>
      <c r="D12">
        <v>1.2E-2</v>
      </c>
      <c r="E12" s="17">
        <v>-3.48</v>
      </c>
    </row>
    <row r="13" spans="1:9" x14ac:dyDescent="0.3">
      <c r="A13" s="16">
        <v>2</v>
      </c>
      <c r="B13">
        <v>15</v>
      </c>
      <c r="C13">
        <v>1.575</v>
      </c>
      <c r="D13">
        <v>1.4999999999999999E-2</v>
      </c>
      <c r="E13" s="17">
        <v>-4.3460000000000001</v>
      </c>
    </row>
    <row r="14" spans="1:9" x14ac:dyDescent="0.3">
      <c r="A14" s="16">
        <v>6</v>
      </c>
      <c r="B14">
        <v>15</v>
      </c>
      <c r="C14">
        <v>1.98</v>
      </c>
      <c r="D14">
        <v>2.1999999999999999E-2</v>
      </c>
      <c r="E14" s="17">
        <v>-5.1189999999999998</v>
      </c>
    </row>
    <row r="15" spans="1:9" x14ac:dyDescent="0.3">
      <c r="A15" s="16">
        <v>10</v>
      </c>
      <c r="B15">
        <v>15</v>
      </c>
      <c r="C15">
        <v>2.3490000000000002</v>
      </c>
      <c r="D15">
        <v>3.2000000000000001E-2</v>
      </c>
      <c r="E15" s="17">
        <v>-5.7619999999999996</v>
      </c>
      <c r="F15" t="s">
        <v>201</v>
      </c>
    </row>
    <row r="16" spans="1:9" ht="15" thickBot="1" x14ac:dyDescent="0.35">
      <c r="A16" s="18">
        <v>11</v>
      </c>
      <c r="B16" s="19">
        <v>15</v>
      </c>
      <c r="C16" s="19">
        <v>2.4329999999999998</v>
      </c>
      <c r="D16" s="19">
        <v>3.4000000000000002E-2</v>
      </c>
      <c r="E16" s="20">
        <v>-5.8979999999999997</v>
      </c>
      <c r="F16">
        <f>MAX(C10:C16)</f>
        <v>2.4329999999999998</v>
      </c>
    </row>
    <row r="17" spans="1:6" x14ac:dyDescent="0.3">
      <c r="A17" s="13">
        <v>-10</v>
      </c>
      <c r="B17" s="14">
        <v>20</v>
      </c>
      <c r="C17" s="14">
        <v>0.68400000000000005</v>
      </c>
      <c r="D17" s="14">
        <v>0.01</v>
      </c>
      <c r="E17" s="15">
        <v>-2.9049999999999998</v>
      </c>
    </row>
    <row r="18" spans="1:6" x14ac:dyDescent="0.3">
      <c r="A18" s="16">
        <v>-6</v>
      </c>
      <c r="B18">
        <v>20</v>
      </c>
      <c r="C18">
        <v>1.129</v>
      </c>
      <c r="D18">
        <v>1.2E-2</v>
      </c>
      <c r="E18" s="17">
        <v>-3.84</v>
      </c>
    </row>
    <row r="19" spans="1:6" x14ac:dyDescent="0.3">
      <c r="A19" s="16">
        <v>-2</v>
      </c>
      <c r="B19">
        <v>20</v>
      </c>
      <c r="C19">
        <v>1.56</v>
      </c>
      <c r="D19">
        <v>1.4999999999999999E-2</v>
      </c>
      <c r="E19" s="17">
        <v>-4.7140000000000004</v>
      </c>
    </row>
    <row r="20" spans="1:6" x14ac:dyDescent="0.3">
      <c r="A20" s="16">
        <v>2</v>
      </c>
      <c r="B20">
        <v>20</v>
      </c>
      <c r="C20">
        <v>1.9710000000000001</v>
      </c>
      <c r="D20">
        <v>0.02</v>
      </c>
      <c r="E20" s="17">
        <v>-5.5069999999999997</v>
      </c>
    </row>
    <row r="21" spans="1:6" x14ac:dyDescent="0.3">
      <c r="A21" s="16">
        <v>6</v>
      </c>
      <c r="B21">
        <v>20</v>
      </c>
      <c r="C21">
        <v>2.35</v>
      </c>
      <c r="D21">
        <v>2.8000000000000001E-2</v>
      </c>
      <c r="E21" s="17">
        <v>-6.18</v>
      </c>
    </row>
    <row r="22" spans="1:6" x14ac:dyDescent="0.3">
      <c r="A22" s="16">
        <v>10</v>
      </c>
      <c r="B22">
        <v>20</v>
      </c>
      <c r="C22">
        <v>2.6709999999999998</v>
      </c>
      <c r="D22">
        <v>4.1000000000000002E-2</v>
      </c>
      <c r="E22" s="17">
        <v>-6.665</v>
      </c>
      <c r="F22" t="s">
        <v>201</v>
      </c>
    </row>
    <row r="23" spans="1:6" ht="15" thickBot="1" x14ac:dyDescent="0.35">
      <c r="A23" s="18">
        <v>12</v>
      </c>
      <c r="B23" s="19">
        <v>20</v>
      </c>
      <c r="C23" s="19">
        <v>2.778</v>
      </c>
      <c r="D23" s="19">
        <v>5.1999999999999998E-2</v>
      </c>
      <c r="E23" s="20">
        <v>-6.7629999999999999</v>
      </c>
      <c r="F23">
        <f>MAX(C17:C23)</f>
        <v>2.778</v>
      </c>
    </row>
    <row r="24" spans="1:6" x14ac:dyDescent="0.3">
      <c r="A24" s="13">
        <v>-10</v>
      </c>
      <c r="B24" s="14">
        <v>25</v>
      </c>
      <c r="C24" s="14">
        <v>1.111</v>
      </c>
      <c r="D24" s="14">
        <v>1.2E-2</v>
      </c>
      <c r="E24" s="15">
        <v>-4.1660000000000004</v>
      </c>
    </row>
    <row r="25" spans="1:6" x14ac:dyDescent="0.3">
      <c r="A25" s="16">
        <v>-6</v>
      </c>
      <c r="B25">
        <v>25</v>
      </c>
      <c r="C25">
        <v>1.542</v>
      </c>
      <c r="D25">
        <v>1.4999999999999999E-2</v>
      </c>
      <c r="E25" s="17">
        <v>-5.05</v>
      </c>
    </row>
    <row r="26" spans="1:6" x14ac:dyDescent="0.3">
      <c r="A26" s="16">
        <v>-2</v>
      </c>
      <c r="B26">
        <v>25</v>
      </c>
      <c r="C26">
        <v>1.952</v>
      </c>
      <c r="D26">
        <v>1.9E-2</v>
      </c>
      <c r="E26" s="17">
        <v>-5.8490000000000002</v>
      </c>
    </row>
    <row r="27" spans="1:6" x14ac:dyDescent="0.3">
      <c r="A27" s="16">
        <v>2</v>
      </c>
      <c r="B27">
        <v>25</v>
      </c>
      <c r="C27">
        <v>2.3359999999999999</v>
      </c>
      <c r="D27">
        <v>2.5999999999999999E-2</v>
      </c>
      <c r="E27" s="17">
        <v>-6.5449999999999999</v>
      </c>
    </row>
    <row r="28" spans="1:6" x14ac:dyDescent="0.3">
      <c r="A28" s="16">
        <v>6</v>
      </c>
      <c r="B28">
        <v>25</v>
      </c>
      <c r="C28">
        <v>2.6760000000000002</v>
      </c>
      <c r="D28">
        <v>3.5999999999999997E-2</v>
      </c>
      <c r="E28" s="17">
        <v>-7.0839999999999996</v>
      </c>
    </row>
    <row r="29" spans="1:6" x14ac:dyDescent="0.3">
      <c r="A29" s="16">
        <v>7</v>
      </c>
      <c r="B29">
        <v>25</v>
      </c>
      <c r="C29">
        <v>2.7509999999999999</v>
      </c>
      <c r="D29">
        <v>3.9E-2</v>
      </c>
      <c r="E29" s="17">
        <v>-7.1870000000000003</v>
      </c>
    </row>
    <row r="30" spans="1:6" x14ac:dyDescent="0.3">
      <c r="A30" s="16">
        <v>8</v>
      </c>
      <c r="B30">
        <v>25</v>
      </c>
      <c r="C30">
        <v>2.819</v>
      </c>
      <c r="D30">
        <v>4.2000000000000003E-2</v>
      </c>
      <c r="E30" s="17">
        <v>-7.2670000000000003</v>
      </c>
    </row>
    <row r="31" spans="1:6" x14ac:dyDescent="0.3">
      <c r="A31" s="16">
        <v>9</v>
      </c>
      <c r="B31">
        <v>25</v>
      </c>
      <c r="C31">
        <v>2.8820000000000001</v>
      </c>
      <c r="D31">
        <v>4.7E-2</v>
      </c>
      <c r="E31" s="17">
        <v>-7.3339999999999996</v>
      </c>
      <c r="F31" t="s">
        <v>201</v>
      </c>
    </row>
    <row r="32" spans="1:6" ht="15" thickBot="1" x14ac:dyDescent="0.35">
      <c r="A32" s="18">
        <v>10</v>
      </c>
      <c r="B32" s="19">
        <v>25</v>
      </c>
      <c r="C32" s="19">
        <v>2.9340000000000002</v>
      </c>
      <c r="D32" s="19">
        <v>5.0999999999999997E-2</v>
      </c>
      <c r="E32" s="20">
        <v>-7.3659999999999997</v>
      </c>
      <c r="F32">
        <f>MAX(C24:C32)</f>
        <v>2.9340000000000002</v>
      </c>
    </row>
    <row r="33" spans="1:6" x14ac:dyDescent="0.3">
      <c r="A33" s="13">
        <v>-10</v>
      </c>
      <c r="B33" s="14">
        <v>30</v>
      </c>
      <c r="C33" s="14">
        <v>1.508</v>
      </c>
      <c r="D33" s="14">
        <v>1.4999999999999999E-2</v>
      </c>
      <c r="E33" s="15">
        <v>-5.32</v>
      </c>
    </row>
    <row r="34" spans="1:6" x14ac:dyDescent="0.3">
      <c r="A34" s="16">
        <v>-6</v>
      </c>
      <c r="B34">
        <v>30</v>
      </c>
      <c r="C34">
        <v>1.913</v>
      </c>
      <c r="D34">
        <v>1.9E-2</v>
      </c>
      <c r="E34" s="17">
        <v>-6.1180000000000003</v>
      </c>
    </row>
    <row r="35" spans="1:6" x14ac:dyDescent="0.3">
      <c r="A35" s="16">
        <v>-2</v>
      </c>
      <c r="B35">
        <v>30</v>
      </c>
      <c r="C35">
        <v>2.29</v>
      </c>
      <c r="D35">
        <v>2.4E-2</v>
      </c>
      <c r="E35" s="17">
        <v>-6.8049999999999997</v>
      </c>
    </row>
    <row r="36" spans="1:6" x14ac:dyDescent="0.3">
      <c r="A36" s="16">
        <v>2</v>
      </c>
      <c r="B36">
        <v>30</v>
      </c>
      <c r="C36">
        <v>2.6320000000000001</v>
      </c>
      <c r="D36">
        <v>3.3000000000000002E-2</v>
      </c>
      <c r="E36" s="17">
        <v>-7.359</v>
      </c>
    </row>
    <row r="37" spans="1:6" x14ac:dyDescent="0.3">
      <c r="A37" s="16">
        <v>6</v>
      </c>
      <c r="B37">
        <v>30</v>
      </c>
      <c r="C37">
        <v>2.9079999999999999</v>
      </c>
      <c r="D37">
        <v>4.4999999999999998E-2</v>
      </c>
      <c r="E37" s="17">
        <v>-7.6970000000000001</v>
      </c>
    </row>
    <row r="38" spans="1:6" x14ac:dyDescent="0.3">
      <c r="A38" s="16">
        <v>7</v>
      </c>
      <c r="B38">
        <v>30</v>
      </c>
      <c r="C38">
        <v>2.9580000000000002</v>
      </c>
      <c r="D38">
        <v>4.9000000000000002E-2</v>
      </c>
      <c r="E38" s="17">
        <v>-7.7249999999999996</v>
      </c>
      <c r="F38" t="s">
        <v>201</v>
      </c>
    </row>
    <row r="39" spans="1:6" ht="15" thickBot="1" x14ac:dyDescent="0.35">
      <c r="A39" s="18">
        <v>9</v>
      </c>
      <c r="B39" s="19">
        <v>30</v>
      </c>
      <c r="C39" s="19">
        <v>3.0019999999999998</v>
      </c>
      <c r="D39" s="19">
        <v>6.0999999999999999E-2</v>
      </c>
      <c r="E39" s="20">
        <v>-7.6239999999999997</v>
      </c>
      <c r="F39">
        <f>MAX(C33:C39)</f>
        <v>3.0019999999999998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2D_Flap0_to_20_2ndOrderComplica</vt:lpstr>
      <vt:lpstr>a6v_singlewing_2d_results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CHARPOT</dc:creator>
  <cp:lastModifiedBy>Kevin CHARPOT</cp:lastModifiedBy>
  <dcterms:created xsi:type="dcterms:W3CDTF">2022-10-28T17:07:49Z</dcterms:created>
  <dcterms:modified xsi:type="dcterms:W3CDTF">2022-10-28T17:10:25Z</dcterms:modified>
</cp:coreProperties>
</file>